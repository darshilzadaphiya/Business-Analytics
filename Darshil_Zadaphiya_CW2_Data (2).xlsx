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ivecoventryac-my.sharepoint.com/personal/zadaphiyad_uni_coventry_ac_uk/Documents/"/>
    </mc:Choice>
  </mc:AlternateContent>
  <xr:revisionPtr revIDLastSave="1541" documentId="8_{93B5A8AB-886C-4B69-873A-13B169BCFD09}" xr6:coauthVersionLast="47" xr6:coauthVersionMax="47" xr10:uidLastSave="{BE6C2A27-496D-4689-8AD8-A17357CE7BEC}"/>
  <bookViews>
    <workbookView xWindow="-108" yWindow="-108" windowWidth="23256" windowHeight="12456" activeTab="4" xr2:uid="{961617E2-F0E7-43DF-B742-A4175B555855}"/>
  </bookViews>
  <sheets>
    <sheet name="Time Series Plot" sheetId="1" r:id="rId1"/>
    <sheet name="A.1 Time Series Exploration" sheetId="2" r:id="rId2"/>
    <sheet name="A.2 &amp; A.3 Time Series Models" sheetId="3" r:id="rId3"/>
    <sheet name="A.4 Safety Stock" sheetId="7" r:id="rId4"/>
    <sheet name="B.1 &amp; B.2 Simulation" sheetId="10" r:id="rId5"/>
  </sheets>
  <externalReferences>
    <externalReference r:id="rId6"/>
  </externalReferences>
  <definedNames>
    <definedName name="_xlchart.v1.0" hidden="1">'B.1 &amp; B.2 Simulation'!$C$29:$C$278</definedName>
    <definedName name="alpha__LES">'A.2 &amp; A.3 Time Series Models'!$AR$3</definedName>
    <definedName name="alpha__SES">'A.2 &amp; A.3 Time Series Models'!$AE$3</definedName>
    <definedName name="beta__LES">'A.2 &amp; A.3 Time Series Models'!$AR$4</definedName>
    <definedName name="Bin_Size" localSheetId="4">'B.1 &amp; B.2 Simulation'!$F$11</definedName>
    <definedName name="Bin_Size">#REF!</definedName>
    <definedName name="Bin_Start" localSheetId="4">'B.1 &amp; B.2 Simulation'!$R$3</definedName>
    <definedName name="Bin_Start">#REF!</definedName>
    <definedName name="Bin_Stop" localSheetId="4">'B.1 &amp; B.2 Simulation'!$S$3</definedName>
    <definedName name="Bin_Stop">#REF!</definedName>
    <definedName name="Bins" localSheetId="4">'B.1 &amp; B.2 Simulation'!$R$6:$R$32</definedName>
    <definedName name="Bins">#REF!</definedName>
    <definedName name="Bins_Number" localSheetId="4">'B.1 &amp; B.2 Simulation'!$F$13</definedName>
    <definedName name="Bins_Number">#REF!</definedName>
    <definedName name="Expected_LT_Demand" localSheetId="4">'B.1 &amp; B.2 Simulation'!$F$5</definedName>
    <definedName name="Expected_LT_Demand">#REF!</definedName>
    <definedName name="Lead_Time">'A.4 Safety Stock'!$B$5:$C$5</definedName>
    <definedName name="MAD_LES">'A.2 &amp; A.3 Time Series Models'!$AN$3</definedName>
    <definedName name="MAPE_LES">'A.2 &amp; A.3 Time Series Models'!$AN$4</definedName>
    <definedName name="Maximum_Profit" localSheetId="4">'B.1 &amp; B.2 Simulation'!$I$16</definedName>
    <definedName name="Maximum_Profit">#REF!</definedName>
    <definedName name="Minimum_Profit" localSheetId="4">'B.1 &amp; B.2 Simulation'!$I$15</definedName>
    <definedName name="Minimum_Profit">#REF!</definedName>
    <definedName name="MSE_LES">'A.2 &amp; A.3 Time Series Models'!$AN$5</definedName>
    <definedName name="Range_of_Profits" localSheetId="4">'B.1 &amp; B.2 Simulation'!$I$17</definedName>
    <definedName name="Range_of_Profits">#REF!</definedName>
    <definedName name="RMSE_LES">'A.2 &amp; A.3 Time Series Models'!$AN$6</definedName>
    <definedName name="Total_Trials" localSheetId="4">'B.1 &amp; B.2 Simulation'!$I$19</definedName>
    <definedName name="Total_Trials">#REF!</definedName>
    <definedName name="Trials_below_Mean" localSheetId="4">'B.1 &amp; B.2 Simulation'!$I$18</definedName>
    <definedName name="Trials_below_Mean">#REF!</definedName>
    <definedName name="Unit_cost" localSheetId="4">'B.1 &amp; B.2 Simulation'!$F$7</definedName>
    <definedName name="Unit_cost">#REF!</definedName>
    <definedName name="Unit_price" localSheetId="4">'B.1 &amp; B.2 Simulation'!$F$6</definedName>
    <definedName name="Unit_pric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0" l="1"/>
  <c r="E30" i="10" s="1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D278" i="10"/>
  <c r="D277" i="10"/>
  <c r="D276" i="10"/>
  <c r="D275" i="10"/>
  <c r="D274" i="10"/>
  <c r="D273" i="10"/>
  <c r="D272" i="10"/>
  <c r="D271" i="10"/>
  <c r="D270" i="10"/>
  <c r="D269" i="10"/>
  <c r="D268" i="10"/>
  <c r="D267" i="10"/>
  <c r="D266" i="10"/>
  <c r="D265" i="10"/>
  <c r="D264" i="10"/>
  <c r="D263" i="10"/>
  <c r="D262" i="10"/>
  <c r="D261" i="10"/>
  <c r="D260" i="10"/>
  <c r="D259" i="10"/>
  <c r="D258" i="10"/>
  <c r="D257" i="10"/>
  <c r="D256" i="10"/>
  <c r="D255" i="10"/>
  <c r="D254" i="10"/>
  <c r="D253" i="10"/>
  <c r="D252" i="10"/>
  <c r="D251" i="10"/>
  <c r="D250" i="10"/>
  <c r="D249" i="10"/>
  <c r="D248" i="10"/>
  <c r="D247" i="10"/>
  <c r="D246" i="10"/>
  <c r="D245" i="10"/>
  <c r="D244" i="10"/>
  <c r="D243" i="10"/>
  <c r="D242" i="10"/>
  <c r="D241" i="10"/>
  <c r="D240" i="10"/>
  <c r="D239" i="10"/>
  <c r="D238" i="10"/>
  <c r="D237" i="10"/>
  <c r="D236" i="10"/>
  <c r="D235" i="10"/>
  <c r="D234" i="10"/>
  <c r="D233" i="10"/>
  <c r="D232" i="10"/>
  <c r="D231" i="10"/>
  <c r="D230" i="10"/>
  <c r="D229" i="10"/>
  <c r="D228" i="10"/>
  <c r="D227" i="10"/>
  <c r="D226" i="10"/>
  <c r="D225" i="10"/>
  <c r="D224" i="10"/>
  <c r="D223" i="10"/>
  <c r="D222" i="10"/>
  <c r="D221" i="10"/>
  <c r="D220" i="10"/>
  <c r="D219" i="10"/>
  <c r="D218" i="10"/>
  <c r="D217" i="10"/>
  <c r="D216" i="10"/>
  <c r="D215" i="10"/>
  <c r="D214" i="10"/>
  <c r="D213" i="10"/>
  <c r="D212" i="10"/>
  <c r="D211" i="10"/>
  <c r="D210" i="10"/>
  <c r="D209" i="10"/>
  <c r="D208" i="10"/>
  <c r="D207" i="10"/>
  <c r="D206" i="10"/>
  <c r="D205" i="10"/>
  <c r="D204" i="10"/>
  <c r="D203" i="10"/>
  <c r="D202" i="10"/>
  <c r="D201" i="10"/>
  <c r="D200" i="10"/>
  <c r="D199" i="10"/>
  <c r="D198" i="10"/>
  <c r="D197" i="10"/>
  <c r="D196" i="10"/>
  <c r="D195" i="10"/>
  <c r="D194" i="10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D180" i="10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T31" i="10"/>
  <c r="D31" i="10"/>
  <c r="T30" i="10"/>
  <c r="T29" i="10"/>
  <c r="D29" i="10"/>
  <c r="E29" i="10" s="1"/>
  <c r="I19" i="10"/>
  <c r="E17" i="10"/>
  <c r="E18" i="10" s="1"/>
  <c r="E19" i="10" l="1"/>
  <c r="E20" i="10" s="1"/>
  <c r="E231" i="10"/>
  <c r="E195" i="10"/>
  <c r="E126" i="10"/>
  <c r="E57" i="10" l="1"/>
  <c r="E107" i="10"/>
  <c r="E226" i="10"/>
  <c r="E189" i="10"/>
  <c r="E236" i="10"/>
  <c r="E87" i="10"/>
  <c r="E109" i="10"/>
  <c r="E234" i="10"/>
  <c r="E245" i="10"/>
  <c r="E274" i="10"/>
  <c r="E31" i="10"/>
  <c r="E215" i="10"/>
  <c r="E74" i="10"/>
  <c r="E277" i="10"/>
  <c r="E201" i="10"/>
  <c r="E21" i="10"/>
  <c r="E235" i="10" s="1"/>
  <c r="E68" i="10"/>
  <c r="E237" i="10"/>
  <c r="E175" i="10"/>
  <c r="E162" i="10"/>
  <c r="E164" i="10"/>
  <c r="E264" i="10"/>
  <c r="E171" i="10" l="1"/>
  <c r="E117" i="10"/>
  <c r="E91" i="10"/>
  <c r="E243" i="10"/>
  <c r="E266" i="10"/>
  <c r="E167" i="10"/>
  <c r="E158" i="10"/>
  <c r="E49" i="10"/>
  <c r="E63" i="10"/>
  <c r="E168" i="10"/>
  <c r="E37" i="10"/>
  <c r="E206" i="10"/>
  <c r="E248" i="10"/>
  <c r="E53" i="10"/>
  <c r="E141" i="10"/>
  <c r="E67" i="10"/>
  <c r="E263" i="10"/>
  <c r="E36" i="10"/>
  <c r="E96" i="10"/>
  <c r="E112" i="10"/>
  <c r="E258" i="10"/>
  <c r="E193" i="10"/>
  <c r="E82" i="10"/>
  <c r="E123" i="10"/>
  <c r="E151" i="10"/>
  <c r="E156" i="10"/>
  <c r="E147" i="10"/>
  <c r="E203" i="10"/>
  <c r="E139" i="10"/>
  <c r="E78" i="10"/>
  <c r="E146" i="10"/>
  <c r="E182" i="10"/>
  <c r="E42" i="10"/>
  <c r="E97" i="10"/>
  <c r="E270" i="10"/>
  <c r="E255" i="10"/>
  <c r="E101" i="10"/>
  <c r="E34" i="10"/>
  <c r="E269" i="10"/>
  <c r="E145" i="10"/>
  <c r="E213" i="10"/>
  <c r="E180" i="10"/>
  <c r="E138" i="10"/>
  <c r="E133" i="10"/>
  <c r="E205" i="10"/>
  <c r="E94" i="10"/>
  <c r="E113" i="10"/>
  <c r="E89" i="10"/>
  <c r="E150" i="10"/>
  <c r="E149" i="10"/>
  <c r="E196" i="10"/>
  <c r="E46" i="10"/>
  <c r="E75" i="10"/>
  <c r="E260" i="10"/>
  <c r="E184" i="10"/>
  <c r="E77" i="10"/>
  <c r="E154" i="10"/>
  <c r="E72" i="10"/>
  <c r="E152" i="10"/>
  <c r="E181" i="10"/>
  <c r="E278" i="10"/>
  <c r="E224" i="10"/>
  <c r="E125" i="10"/>
  <c r="E120" i="10"/>
  <c r="E218" i="10"/>
  <c r="E183" i="10"/>
  <c r="E242" i="10"/>
  <c r="E90" i="10"/>
  <c r="E228" i="10"/>
  <c r="E209" i="10"/>
  <c r="E200" i="10"/>
  <c r="E198" i="10"/>
  <c r="E62" i="10"/>
  <c r="E60" i="10"/>
  <c r="E225" i="10"/>
  <c r="E238" i="10"/>
  <c r="E55" i="10"/>
  <c r="E221" i="10"/>
  <c r="E32" i="10"/>
  <c r="E259" i="10"/>
  <c r="E40" i="10"/>
  <c r="E244" i="10"/>
  <c r="E176" i="10"/>
  <c r="E252" i="10"/>
  <c r="E211" i="10"/>
  <c r="E122" i="10"/>
  <c r="E222" i="10"/>
  <c r="E140" i="10"/>
  <c r="E95" i="10"/>
  <c r="E230" i="10"/>
  <c r="E143" i="10"/>
  <c r="E64" i="10"/>
  <c r="E148" i="10"/>
  <c r="E127" i="10"/>
  <c r="E51" i="10"/>
  <c r="E39" i="10"/>
  <c r="E217" i="10"/>
  <c r="E106" i="10"/>
  <c r="E261" i="10"/>
  <c r="E169" i="10"/>
  <c r="E239" i="10"/>
  <c r="E173" i="10"/>
  <c r="E134" i="10"/>
  <c r="E69" i="10"/>
  <c r="E153" i="10"/>
  <c r="E192" i="10"/>
  <c r="E174" i="10"/>
  <c r="E58" i="10"/>
  <c r="E85" i="10"/>
  <c r="E271" i="10"/>
  <c r="E247" i="10"/>
  <c r="E250" i="10"/>
  <c r="E240" i="10"/>
  <c r="E179" i="10"/>
  <c r="E251" i="10"/>
  <c r="E103" i="10"/>
  <c r="E227" i="10"/>
  <c r="E166" i="10"/>
  <c r="E210" i="10"/>
  <c r="E157" i="10"/>
  <c r="E186" i="10"/>
  <c r="E41" i="10"/>
  <c r="E52" i="10"/>
  <c r="E142" i="10"/>
  <c r="E144" i="10"/>
  <c r="E212" i="10"/>
  <c r="E249" i="10"/>
  <c r="E65" i="10"/>
  <c r="E265" i="10"/>
  <c r="E118" i="10"/>
  <c r="E45" i="10"/>
  <c r="E38" i="10"/>
  <c r="E115" i="10"/>
  <c r="E129" i="10"/>
  <c r="E256" i="10"/>
  <c r="E197" i="10"/>
  <c r="E105" i="10"/>
  <c r="E268" i="10"/>
  <c r="E172" i="10"/>
  <c r="E70" i="10"/>
  <c r="E114" i="10"/>
  <c r="E83" i="10"/>
  <c r="E104" i="10"/>
  <c r="E199" i="10"/>
  <c r="E102" i="10"/>
  <c r="E220" i="10"/>
  <c r="E84" i="10"/>
  <c r="E61" i="10"/>
  <c r="E56" i="10"/>
  <c r="E214" i="10"/>
  <c r="E160" i="10"/>
  <c r="E185" i="10"/>
  <c r="E219" i="10"/>
  <c r="E223" i="10"/>
  <c r="E159" i="10"/>
  <c r="E191" i="10"/>
  <c r="E202" i="10"/>
  <c r="E92" i="10"/>
  <c r="E136" i="10"/>
  <c r="E121" i="10"/>
  <c r="E132" i="10"/>
  <c r="E177" i="10"/>
  <c r="E54" i="10"/>
  <c r="E187" i="10"/>
  <c r="E98" i="10"/>
  <c r="E119" i="10"/>
  <c r="E273" i="10"/>
  <c r="E131" i="10"/>
  <c r="E267" i="10"/>
  <c r="E204" i="10"/>
  <c r="E254" i="10"/>
  <c r="E170" i="10"/>
  <c r="E33" i="10"/>
  <c r="E99" i="10"/>
  <c r="E262" i="10"/>
  <c r="E43" i="10"/>
  <c r="E124" i="10"/>
  <c r="E165" i="10"/>
  <c r="E59" i="10"/>
  <c r="E110" i="10"/>
  <c r="E190" i="10"/>
  <c r="E155" i="10"/>
  <c r="E137" i="10"/>
  <c r="E246" i="10"/>
  <c r="E35" i="10"/>
  <c r="E163" i="10"/>
  <c r="E80" i="10"/>
  <c r="E93" i="10"/>
  <c r="E233" i="10"/>
  <c r="E73" i="10"/>
  <c r="E275" i="10"/>
  <c r="E116" i="10"/>
  <c r="E161" i="10"/>
  <c r="E66" i="10"/>
  <c r="E79" i="10"/>
  <c r="E50" i="10"/>
  <c r="E48" i="10"/>
  <c r="E276" i="10"/>
  <c r="E241" i="10"/>
  <c r="E188" i="10"/>
  <c r="E272" i="10"/>
  <c r="E128" i="10"/>
  <c r="E257" i="10"/>
  <c r="E44" i="10"/>
  <c r="E108" i="10"/>
  <c r="E208" i="10"/>
  <c r="E111" i="10"/>
  <c r="E253" i="10"/>
  <c r="E130" i="10"/>
  <c r="E86" i="10"/>
  <c r="E100" i="10"/>
  <c r="E76" i="10"/>
  <c r="E232" i="10"/>
  <c r="E47" i="10"/>
  <c r="E71" i="10"/>
  <c r="E178" i="10"/>
  <c r="E81" i="10"/>
  <c r="E88" i="10"/>
  <c r="E216" i="10"/>
  <c r="E229" i="10"/>
  <c r="E207" i="10"/>
  <c r="E135" i="10"/>
  <c r="E194" i="10"/>
  <c r="C34" i="7" l="1"/>
  <c r="C26" i="7"/>
  <c r="C29" i="7" s="1"/>
  <c r="C36" i="7" s="1"/>
  <c r="AQ5" i="3" l="1"/>
  <c r="AP5" i="3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B5" i="2" l="1"/>
  <c r="B10" i="3" s="1"/>
  <c r="B6" i="2"/>
  <c r="B11" i="3" s="1"/>
  <c r="B7" i="2"/>
  <c r="B12" i="3" s="1"/>
  <c r="B8" i="2"/>
  <c r="B13" i="3" s="1"/>
  <c r="B9" i="2"/>
  <c r="B14" i="3" s="1"/>
  <c r="B10" i="2"/>
  <c r="B15" i="3" s="1"/>
  <c r="B11" i="2"/>
  <c r="B16" i="3" s="1"/>
  <c r="B12" i="2"/>
  <c r="B17" i="3" s="1"/>
  <c r="B13" i="2"/>
  <c r="B18" i="3" s="1"/>
  <c r="B14" i="2"/>
  <c r="B19" i="3" s="1"/>
  <c r="B15" i="2"/>
  <c r="B20" i="3" s="1"/>
  <c r="B16" i="2"/>
  <c r="B21" i="3" s="1"/>
  <c r="B17" i="2"/>
  <c r="B22" i="3" s="1"/>
  <c r="B18" i="2"/>
  <c r="B23" i="3" s="1"/>
  <c r="B19" i="2"/>
  <c r="B24" i="3" s="1"/>
  <c r="B20" i="2"/>
  <c r="B25" i="3" s="1"/>
  <c r="B21" i="2"/>
  <c r="B26" i="3" s="1"/>
  <c r="B22" i="2"/>
  <c r="B27" i="3" s="1"/>
  <c r="B23" i="2"/>
  <c r="B28" i="3" s="1"/>
  <c r="B24" i="2"/>
  <c r="B29" i="3" s="1"/>
  <c r="B25" i="2"/>
  <c r="B30" i="3" s="1"/>
  <c r="B26" i="2"/>
  <c r="B31" i="3" s="1"/>
  <c r="B27" i="2"/>
  <c r="B32" i="3" s="1"/>
  <c r="B28" i="2"/>
  <c r="B33" i="3" s="1"/>
  <c r="B29" i="2"/>
  <c r="B34" i="3" s="1"/>
  <c r="B30" i="2"/>
  <c r="B35" i="3" s="1"/>
  <c r="B31" i="2"/>
  <c r="B36" i="3" s="1"/>
  <c r="B32" i="2"/>
  <c r="B37" i="3" s="1"/>
  <c r="C13" i="7" s="1"/>
  <c r="B33" i="2"/>
  <c r="B38" i="3" s="1"/>
  <c r="C14" i="7" s="1"/>
  <c r="B34" i="2"/>
  <c r="B39" i="3" s="1"/>
  <c r="C15" i="7" s="1"/>
  <c r="B35" i="2"/>
  <c r="B40" i="3" s="1"/>
  <c r="C16" i="7" s="1"/>
  <c r="B36" i="2"/>
  <c r="B41" i="3" s="1"/>
  <c r="C17" i="7" s="1"/>
  <c r="B37" i="2"/>
  <c r="B42" i="3" s="1"/>
  <c r="C18" i="7" s="1"/>
  <c r="B38" i="2"/>
  <c r="B43" i="3" s="1"/>
  <c r="C19" i="7" s="1"/>
  <c r="B39" i="2"/>
  <c r="B44" i="3" s="1"/>
  <c r="C20" i="7" s="1"/>
  <c r="B4" i="2"/>
  <c r="B9" i="3" s="1"/>
  <c r="C5" i="2"/>
  <c r="C10" i="3" s="1"/>
  <c r="D10" i="3" s="1"/>
  <c r="C6" i="2"/>
  <c r="C7" i="2"/>
  <c r="C12" i="3" s="1"/>
  <c r="D12" i="3" s="1"/>
  <c r="C8" i="2"/>
  <c r="C13" i="3" s="1"/>
  <c r="D13" i="3" s="1"/>
  <c r="C9" i="2"/>
  <c r="C14" i="3" s="1"/>
  <c r="D14" i="3" s="1"/>
  <c r="C10" i="2"/>
  <c r="C15" i="3" s="1"/>
  <c r="D15" i="3" s="1"/>
  <c r="C11" i="2"/>
  <c r="C16" i="3" s="1"/>
  <c r="D16" i="3" s="1"/>
  <c r="C12" i="2"/>
  <c r="C17" i="3" s="1"/>
  <c r="D17" i="3" s="1"/>
  <c r="C13" i="2"/>
  <c r="C18" i="3" s="1"/>
  <c r="D18" i="3" s="1"/>
  <c r="C14" i="2"/>
  <c r="C19" i="3" s="1"/>
  <c r="D19" i="3" s="1"/>
  <c r="C15" i="2"/>
  <c r="C20" i="3" s="1"/>
  <c r="D20" i="3" s="1"/>
  <c r="C16" i="2"/>
  <c r="C21" i="3" s="1"/>
  <c r="D21" i="3" s="1"/>
  <c r="C17" i="2"/>
  <c r="C22" i="3" s="1"/>
  <c r="D22" i="3" s="1"/>
  <c r="C18" i="2"/>
  <c r="C23" i="3" s="1"/>
  <c r="D23" i="3" s="1"/>
  <c r="C19" i="2"/>
  <c r="C24" i="3" s="1"/>
  <c r="D24" i="3" s="1"/>
  <c r="C20" i="2"/>
  <c r="C25" i="3" s="1"/>
  <c r="D25" i="3" s="1"/>
  <c r="C21" i="2"/>
  <c r="C26" i="3" s="1"/>
  <c r="D26" i="3" s="1"/>
  <c r="C22" i="2"/>
  <c r="C27" i="3" s="1"/>
  <c r="D27" i="3" s="1"/>
  <c r="C23" i="2"/>
  <c r="C28" i="3" s="1"/>
  <c r="C24" i="2"/>
  <c r="C29" i="3" s="1"/>
  <c r="E29" i="3" s="1"/>
  <c r="C25" i="2"/>
  <c r="C30" i="3" s="1"/>
  <c r="E30" i="3" s="1"/>
  <c r="C26" i="2"/>
  <c r="C31" i="3" s="1"/>
  <c r="E31" i="3" s="1"/>
  <c r="C27" i="2"/>
  <c r="C32" i="3" s="1"/>
  <c r="E32" i="3" s="1"/>
  <c r="C28" i="2"/>
  <c r="C33" i="3" s="1"/>
  <c r="E33" i="3" s="1"/>
  <c r="C29" i="2"/>
  <c r="C34" i="3" s="1"/>
  <c r="E34" i="3" s="1"/>
  <c r="C30" i="2"/>
  <c r="C35" i="3" s="1"/>
  <c r="E35" i="3" s="1"/>
  <c r="C31" i="2"/>
  <c r="C36" i="3" s="1"/>
  <c r="E36" i="3" s="1"/>
  <c r="C4" i="2"/>
  <c r="C9" i="3" s="1"/>
  <c r="A5" i="2"/>
  <c r="A10" i="3" s="1"/>
  <c r="A6" i="2"/>
  <c r="A11" i="3" s="1"/>
  <c r="A7" i="2"/>
  <c r="A12" i="3" s="1"/>
  <c r="A8" i="2"/>
  <c r="A13" i="3" s="1"/>
  <c r="A9" i="2"/>
  <c r="A14" i="3" s="1"/>
  <c r="A10" i="2"/>
  <c r="A15" i="3" s="1"/>
  <c r="A11" i="2"/>
  <c r="A16" i="3" s="1"/>
  <c r="A12" i="2"/>
  <c r="A17" i="3" s="1"/>
  <c r="A13" i="2"/>
  <c r="A18" i="3" s="1"/>
  <c r="A14" i="2"/>
  <c r="A19" i="3" s="1"/>
  <c r="A15" i="2"/>
  <c r="A20" i="3" s="1"/>
  <c r="A16" i="2"/>
  <c r="A21" i="3" s="1"/>
  <c r="A17" i="2"/>
  <c r="A22" i="3" s="1"/>
  <c r="A18" i="2"/>
  <c r="A23" i="3" s="1"/>
  <c r="A19" i="2"/>
  <c r="A24" i="3" s="1"/>
  <c r="A20" i="2"/>
  <c r="A25" i="3" s="1"/>
  <c r="A21" i="2"/>
  <c r="A26" i="3" s="1"/>
  <c r="A22" i="2"/>
  <c r="A27" i="3" s="1"/>
  <c r="A23" i="2"/>
  <c r="A28" i="3" s="1"/>
  <c r="A24" i="2"/>
  <c r="A29" i="3" s="1"/>
  <c r="A25" i="2"/>
  <c r="A30" i="3" s="1"/>
  <c r="A26" i="2"/>
  <c r="A31" i="3" s="1"/>
  <c r="A27" i="2"/>
  <c r="A32" i="3" s="1"/>
  <c r="A28" i="2"/>
  <c r="A33" i="3" s="1"/>
  <c r="A29" i="2"/>
  <c r="A34" i="3" s="1"/>
  <c r="A30" i="2"/>
  <c r="A35" i="3" s="1"/>
  <c r="A31" i="2"/>
  <c r="A36" i="3" s="1"/>
  <c r="A32" i="2"/>
  <c r="A37" i="3" s="1"/>
  <c r="A33" i="2"/>
  <c r="A38" i="3" s="1"/>
  <c r="A34" i="2"/>
  <c r="A39" i="3" s="1"/>
  <c r="A35" i="2"/>
  <c r="A40" i="3" s="1"/>
  <c r="A36" i="2"/>
  <c r="A41" i="3" s="1"/>
  <c r="A37" i="2"/>
  <c r="A42" i="3" s="1"/>
  <c r="A38" i="2"/>
  <c r="A43" i="3" s="1"/>
  <c r="A39" i="2"/>
  <c r="A44" i="3" s="1"/>
  <c r="A4" i="2"/>
  <c r="A9" i="3" s="1"/>
  <c r="F20" i="3" l="1"/>
  <c r="F19" i="3"/>
  <c r="F18" i="3"/>
  <c r="F17" i="3"/>
  <c r="D28" i="3"/>
  <c r="E28" i="3"/>
  <c r="F16" i="3"/>
  <c r="F29" i="3"/>
  <c r="G29" i="3" s="1"/>
  <c r="F6" i="2"/>
  <c r="C11" i="3"/>
  <c r="D11" i="3" s="1"/>
  <c r="F27" i="3"/>
  <c r="F26" i="3"/>
  <c r="F24" i="3"/>
  <c r="F28" i="3"/>
  <c r="D9" i="3"/>
  <c r="L9" i="3"/>
  <c r="L10" i="3" s="1"/>
  <c r="M10" i="3" s="1"/>
  <c r="F25" i="3"/>
  <c r="F22" i="3"/>
  <c r="F23" i="3"/>
  <c r="F21" i="3"/>
  <c r="D20" i="2"/>
  <c r="D26" i="2"/>
  <c r="D7" i="2"/>
  <c r="D5" i="2"/>
  <c r="E6" i="2" s="1"/>
  <c r="D8" i="2"/>
  <c r="D21" i="2"/>
  <c r="D16" i="2"/>
  <c r="D9" i="2"/>
  <c r="D6" i="2"/>
  <c r="D24" i="2"/>
  <c r="D18" i="2"/>
  <c r="D14" i="2"/>
  <c r="D25" i="2"/>
  <c r="D17" i="2"/>
  <c r="D15" i="2"/>
  <c r="D29" i="2"/>
  <c r="D13" i="2"/>
  <c r="D19" i="2"/>
  <c r="D28" i="2"/>
  <c r="D12" i="2"/>
  <c r="D27" i="2"/>
  <c r="D11" i="2"/>
  <c r="D10" i="2"/>
  <c r="D23" i="2"/>
  <c r="D22" i="2"/>
  <c r="F15" i="3" l="1"/>
  <c r="I9" i="3"/>
  <c r="I10" i="3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J28" i="3" s="1"/>
  <c r="J29" i="3" s="1"/>
  <c r="F13" i="3"/>
  <c r="L11" i="3"/>
  <c r="M11" i="3" s="1"/>
  <c r="L12" i="3" s="1"/>
  <c r="M12" i="3" s="1"/>
  <c r="L13" i="3" s="1"/>
  <c r="M13" i="3" s="1"/>
  <c r="L14" i="3" s="1"/>
  <c r="M14" i="3" s="1"/>
  <c r="L15" i="3" s="1"/>
  <c r="M15" i="3" s="1"/>
  <c r="L16" i="3" s="1"/>
  <c r="M16" i="3" s="1"/>
  <c r="L17" i="3" s="1"/>
  <c r="M17" i="3" s="1"/>
  <c r="L18" i="3" s="1"/>
  <c r="M18" i="3" s="1"/>
  <c r="L19" i="3" s="1"/>
  <c r="M19" i="3" s="1"/>
  <c r="L20" i="3" s="1"/>
  <c r="M20" i="3" s="1"/>
  <c r="L21" i="3" s="1"/>
  <c r="M21" i="3" s="1"/>
  <c r="L22" i="3" s="1"/>
  <c r="M22" i="3" s="1"/>
  <c r="L23" i="3" s="1"/>
  <c r="M23" i="3" s="1"/>
  <c r="L24" i="3" s="1"/>
  <c r="M24" i="3" s="1"/>
  <c r="L25" i="3" s="1"/>
  <c r="M25" i="3" s="1"/>
  <c r="L26" i="3" s="1"/>
  <c r="M26" i="3" s="1"/>
  <c r="L27" i="3" s="1"/>
  <c r="M27" i="3" s="1"/>
  <c r="L28" i="3" s="1"/>
  <c r="P29" i="3"/>
  <c r="G30" i="3"/>
  <c r="F14" i="3"/>
  <c r="E12" i="2"/>
  <c r="E20" i="2"/>
  <c r="F20" i="2" s="1"/>
  <c r="E22" i="2"/>
  <c r="F22" i="2" s="1"/>
  <c r="E26" i="2"/>
  <c r="F26" i="2" s="1"/>
  <c r="E21" i="2"/>
  <c r="F21" i="2" s="1"/>
  <c r="E19" i="2"/>
  <c r="F19" i="2" s="1"/>
  <c r="E25" i="2"/>
  <c r="F25" i="2" s="1"/>
  <c r="E17" i="2"/>
  <c r="F17" i="2" s="1"/>
  <c r="E29" i="2"/>
  <c r="F29" i="2" s="1"/>
  <c r="E7" i="2"/>
  <c r="F7" i="2" s="1"/>
  <c r="E18" i="2"/>
  <c r="F18" i="2" s="1"/>
  <c r="E24" i="2"/>
  <c r="F24" i="2" s="1"/>
  <c r="E28" i="2"/>
  <c r="F28" i="2" s="1"/>
  <c r="E8" i="2"/>
  <c r="F8" i="2" s="1"/>
  <c r="E13" i="2"/>
  <c r="F13" i="2" s="1"/>
  <c r="E14" i="2"/>
  <c r="F14" i="2" s="1"/>
  <c r="E16" i="2"/>
  <c r="F16" i="2" s="1"/>
  <c r="E15" i="2"/>
  <c r="F15" i="2" s="1"/>
  <c r="E11" i="2"/>
  <c r="F11" i="2" s="1"/>
  <c r="E9" i="2"/>
  <c r="F9" i="2" s="1"/>
  <c r="E27" i="2"/>
  <c r="F27" i="2" s="1"/>
  <c r="E10" i="2"/>
  <c r="F10" i="2" s="1"/>
  <c r="E23" i="2"/>
  <c r="F23" i="2" s="1"/>
  <c r="AA29" i="3" l="1"/>
  <c r="J30" i="3"/>
  <c r="N28" i="3"/>
  <c r="M28" i="3"/>
  <c r="P30" i="3"/>
  <c r="G31" i="3"/>
  <c r="Q29" i="3"/>
  <c r="R29" i="3" s="1"/>
  <c r="S29" i="3"/>
  <c r="I12" i="2"/>
  <c r="J12" i="2" s="1"/>
  <c r="K12" i="2" s="1"/>
  <c r="F12" i="2"/>
  <c r="R12" i="2" s="1"/>
  <c r="R13" i="2"/>
  <c r="I13" i="2"/>
  <c r="J13" i="2" s="1"/>
  <c r="K13" i="2" s="1"/>
  <c r="I24" i="2"/>
  <c r="J24" i="2" s="1"/>
  <c r="K24" i="2" s="1"/>
  <c r="I23" i="2"/>
  <c r="J23" i="2" s="1"/>
  <c r="K23" i="2" s="1"/>
  <c r="V13" i="2"/>
  <c r="I29" i="2"/>
  <c r="J29" i="2" s="1"/>
  <c r="K29" i="2" s="1"/>
  <c r="I10" i="2"/>
  <c r="J10" i="2" s="1"/>
  <c r="K10" i="2" s="1"/>
  <c r="S13" i="2"/>
  <c r="I17" i="2"/>
  <c r="J17" i="2" s="1"/>
  <c r="K17" i="2" s="1"/>
  <c r="U13" i="2"/>
  <c r="I25" i="2"/>
  <c r="J25" i="2" s="1"/>
  <c r="K25" i="2" s="1"/>
  <c r="I27" i="2"/>
  <c r="J27" i="2" s="1"/>
  <c r="K27" i="2" s="1"/>
  <c r="S15" i="2"/>
  <c r="I19" i="2"/>
  <c r="J19" i="2" s="1"/>
  <c r="K19" i="2" s="1"/>
  <c r="T13" i="2"/>
  <c r="I21" i="2"/>
  <c r="J21" i="2" s="1"/>
  <c r="K21" i="2" s="1"/>
  <c r="U14" i="2"/>
  <c r="I26" i="2"/>
  <c r="J26" i="2" s="1"/>
  <c r="K26" i="2" s="1"/>
  <c r="I28" i="2"/>
  <c r="J28" i="2" s="1"/>
  <c r="K28" i="2" s="1"/>
  <c r="I18" i="2"/>
  <c r="J18" i="2" s="1"/>
  <c r="K18" i="2" s="1"/>
  <c r="I11" i="2"/>
  <c r="J11" i="2" s="1"/>
  <c r="K11" i="2" s="1"/>
  <c r="T14" i="2"/>
  <c r="I22" i="2"/>
  <c r="J22" i="2" s="1"/>
  <c r="K22" i="2" s="1"/>
  <c r="I15" i="2"/>
  <c r="J15" i="2" s="1"/>
  <c r="K15" i="2" s="1"/>
  <c r="T12" i="2"/>
  <c r="I20" i="2"/>
  <c r="J20" i="2" s="1"/>
  <c r="K20" i="2" s="1"/>
  <c r="I16" i="2"/>
  <c r="J16" i="2" s="1"/>
  <c r="K16" i="2" s="1"/>
  <c r="I14" i="2"/>
  <c r="J14" i="2" s="1"/>
  <c r="K14" i="2" s="1"/>
  <c r="R15" i="2"/>
  <c r="S12" i="2"/>
  <c r="R14" i="2"/>
  <c r="V12" i="2"/>
  <c r="U12" i="2"/>
  <c r="S14" i="2"/>
  <c r="T15" i="2"/>
  <c r="U15" i="2"/>
  <c r="P31" i="3" l="1"/>
  <c r="G32" i="3"/>
  <c r="Q30" i="3"/>
  <c r="R30" i="3" s="1"/>
  <c r="S30" i="3"/>
  <c r="AA30" i="3"/>
  <c r="J31" i="3"/>
  <c r="M29" i="3"/>
  <c r="N29" i="3"/>
  <c r="AM29" i="3" s="1"/>
  <c r="AB29" i="3"/>
  <c r="AD29" i="3"/>
  <c r="P14" i="2"/>
  <c r="Q13" i="2"/>
  <c r="Z13" i="2" s="1"/>
  <c r="P15" i="2"/>
  <c r="Q12" i="2"/>
  <c r="Z12" i="2" s="1"/>
  <c r="H8" i="2" s="1"/>
  <c r="Q14" i="2"/>
  <c r="Q15" i="2"/>
  <c r="Z15" i="2" l="1"/>
  <c r="H7" i="2" s="1"/>
  <c r="AA31" i="3"/>
  <c r="J32" i="3"/>
  <c r="AN29" i="3"/>
  <c r="AP29" i="3"/>
  <c r="M30" i="3"/>
  <c r="N30" i="3"/>
  <c r="AM30" i="3" s="1"/>
  <c r="AD30" i="3"/>
  <c r="AB30" i="3"/>
  <c r="AC30" i="3" s="1"/>
  <c r="AC29" i="3"/>
  <c r="P32" i="3"/>
  <c r="G33" i="3"/>
  <c r="Q31" i="3"/>
  <c r="R31" i="3" s="1"/>
  <c r="S31" i="3"/>
  <c r="Z14" i="2"/>
  <c r="H6" i="2" s="1"/>
  <c r="AD13" i="2"/>
  <c r="H9" i="2"/>
  <c r="AD12" i="2"/>
  <c r="AD15" i="2"/>
  <c r="P33" i="3" l="1"/>
  <c r="G34" i="3"/>
  <c r="AP30" i="3"/>
  <c r="AN30" i="3"/>
  <c r="AO30" i="3" s="1"/>
  <c r="M31" i="3"/>
  <c r="M32" i="3" s="1"/>
  <c r="M33" i="3" s="1"/>
  <c r="N31" i="3"/>
  <c r="Q32" i="3"/>
  <c r="R32" i="3" s="1"/>
  <c r="S32" i="3"/>
  <c r="AO29" i="3"/>
  <c r="AA32" i="3"/>
  <c r="J33" i="3"/>
  <c r="AB31" i="3"/>
  <c r="AD31" i="3"/>
  <c r="AD14" i="2"/>
  <c r="AD16" i="2"/>
  <c r="AD17" i="2" s="1"/>
  <c r="AE13" i="2" s="1"/>
  <c r="I6" i="2"/>
  <c r="J6" i="2" s="1"/>
  <c r="K6" i="2" s="1"/>
  <c r="I7" i="2"/>
  <c r="J7" i="2" s="1"/>
  <c r="K7" i="2" s="1"/>
  <c r="I8" i="2"/>
  <c r="J8" i="2" s="1"/>
  <c r="K8" i="2" s="1"/>
  <c r="I9" i="2"/>
  <c r="J9" i="2" s="1"/>
  <c r="K9" i="2" s="1"/>
  <c r="AA33" i="3" l="1"/>
  <c r="J34" i="3"/>
  <c r="N32" i="3"/>
  <c r="AM31" i="3"/>
  <c r="Q33" i="3"/>
  <c r="R33" i="3" s="1"/>
  <c r="S33" i="3"/>
  <c r="AC31" i="3"/>
  <c r="AD32" i="3"/>
  <c r="AB32" i="3"/>
  <c r="AC32" i="3" s="1"/>
  <c r="M34" i="3"/>
  <c r="M35" i="3" s="1"/>
  <c r="M36" i="3" s="1"/>
  <c r="M37" i="3" s="1"/>
  <c r="M38" i="3" s="1"/>
  <c r="P34" i="3"/>
  <c r="G35" i="3"/>
  <c r="AE15" i="2"/>
  <c r="AE14" i="2"/>
  <c r="AE12" i="2"/>
  <c r="P35" i="3" l="1"/>
  <c r="G36" i="3"/>
  <c r="Q34" i="3"/>
  <c r="R34" i="3" s="1"/>
  <c r="S34" i="3"/>
  <c r="AA34" i="3"/>
  <c r="J35" i="3"/>
  <c r="M39" i="3"/>
  <c r="AP31" i="3"/>
  <c r="AN31" i="3"/>
  <c r="N33" i="3"/>
  <c r="AM32" i="3"/>
  <c r="AB33" i="3"/>
  <c r="AD33" i="3"/>
  <c r="AE16" i="2"/>
  <c r="P36" i="3" l="1"/>
  <c r="G37" i="3"/>
  <c r="G38" i="3" s="1"/>
  <c r="G39" i="3" s="1"/>
  <c r="G40" i="3" s="1"/>
  <c r="G41" i="3" s="1"/>
  <c r="G42" i="3" s="1"/>
  <c r="G43" i="3" s="1"/>
  <c r="G44" i="3" s="1"/>
  <c r="Q35" i="3"/>
  <c r="R35" i="3" s="1"/>
  <c r="S35" i="3"/>
  <c r="P25" i="3"/>
  <c r="AB34" i="3"/>
  <c r="AC34" i="3" s="1"/>
  <c r="AD34" i="3"/>
  <c r="AC33" i="3"/>
  <c r="AN32" i="3"/>
  <c r="AO32" i="3" s="1"/>
  <c r="AP32" i="3"/>
  <c r="AM33" i="3"/>
  <c r="N34" i="3"/>
  <c r="AO31" i="3"/>
  <c r="M40" i="3"/>
  <c r="AA35" i="3"/>
  <c r="J36" i="3"/>
  <c r="M41" i="3" l="1"/>
  <c r="AN33" i="3"/>
  <c r="AP33" i="3"/>
  <c r="N35" i="3"/>
  <c r="AM34" i="3"/>
  <c r="AA36" i="3"/>
  <c r="J37" i="3"/>
  <c r="J38" i="3" s="1"/>
  <c r="J39" i="3" s="1"/>
  <c r="J40" i="3" s="1"/>
  <c r="J41" i="3" s="1"/>
  <c r="J42" i="3" s="1"/>
  <c r="J43" i="3" s="1"/>
  <c r="J44" i="3" s="1"/>
  <c r="AB35" i="3"/>
  <c r="AD35" i="3"/>
  <c r="Q36" i="3"/>
  <c r="S36" i="3"/>
  <c r="S25" i="3" s="1"/>
  <c r="R5" i="3" l="1"/>
  <c r="T25" i="3"/>
  <c r="R6" i="3" s="1"/>
  <c r="AW5" i="3" s="1"/>
  <c r="AA25" i="3"/>
  <c r="AB36" i="3"/>
  <c r="AC36" i="3" s="1"/>
  <c r="AD36" i="3"/>
  <c r="AE25" i="3" s="1"/>
  <c r="AN34" i="3"/>
  <c r="AO34" i="3" s="1"/>
  <c r="AP34" i="3"/>
  <c r="N36" i="3"/>
  <c r="AM35" i="3"/>
  <c r="AO33" i="3"/>
  <c r="Q25" i="3"/>
  <c r="R3" i="3" s="1"/>
  <c r="AW3" i="3" s="1"/>
  <c r="R36" i="3"/>
  <c r="R25" i="3" s="1"/>
  <c r="R4" i="3" s="1"/>
  <c r="AW4" i="3" s="1"/>
  <c r="AC35" i="3"/>
  <c r="AB25" i="3"/>
  <c r="AB3" i="3" s="1"/>
  <c r="AX3" i="3" s="1"/>
  <c r="M42" i="3"/>
  <c r="AN35" i="3" l="1"/>
  <c r="AO35" i="3" s="1"/>
  <c r="AP35" i="3"/>
  <c r="N37" i="3"/>
  <c r="AM36" i="3"/>
  <c r="AC25" i="3"/>
  <c r="AB4" i="3" s="1"/>
  <c r="AX4" i="3" s="1"/>
  <c r="M43" i="3"/>
  <c r="AD25" i="3"/>
  <c r="AB6" i="3" s="1"/>
  <c r="AX5" i="3" s="1"/>
  <c r="AB5" i="3"/>
  <c r="AN36" i="3" l="1"/>
  <c r="AO36" i="3" s="1"/>
  <c r="AO25" i="3" s="1"/>
  <c r="AN4" i="3" s="1"/>
  <c r="AY4" i="3" s="1"/>
  <c r="AP36" i="3"/>
  <c r="AQ25" i="3" s="1"/>
  <c r="N38" i="3"/>
  <c r="D13" i="7"/>
  <c r="AM25" i="3"/>
  <c r="M44" i="3"/>
  <c r="AN25" i="3"/>
  <c r="AN3" i="3" s="1"/>
  <c r="AY3" i="3" s="1"/>
  <c r="D14" i="7" l="1"/>
  <c r="N39" i="3"/>
  <c r="AP25" i="3"/>
  <c r="AN6" i="3" s="1"/>
  <c r="AN5" i="3"/>
  <c r="C32" i="7" l="1"/>
  <c r="AY5" i="3"/>
  <c r="D15" i="7"/>
  <c r="N40" i="3"/>
  <c r="F8" i="10" l="1"/>
  <c r="C38" i="7"/>
  <c r="D16" i="7"/>
  <c r="N41" i="3"/>
  <c r="D17" i="7" l="1"/>
  <c r="N42" i="3"/>
  <c r="C43" i="7"/>
  <c r="P22" i="7"/>
  <c r="D18" i="7" l="1"/>
  <c r="N43" i="3"/>
  <c r="D19" i="7" l="1"/>
  <c r="N44" i="3"/>
  <c r="D20" i="7" s="1"/>
  <c r="G14" i="7" s="1"/>
  <c r="N22" i="7" s="1"/>
  <c r="C41" i="7" l="1"/>
  <c r="C45" i="7" s="1"/>
  <c r="F5" i="10"/>
  <c r="Q22" i="7"/>
  <c r="C29" i="10" l="1"/>
  <c r="F29" i="10" s="1"/>
  <c r="C265" i="10"/>
  <c r="F265" i="10" s="1"/>
  <c r="C270" i="10"/>
  <c r="F270" i="10" s="1"/>
  <c r="C170" i="10"/>
  <c r="F170" i="10" s="1"/>
  <c r="C43" i="10"/>
  <c r="F43" i="10" s="1"/>
  <c r="C268" i="10"/>
  <c r="F268" i="10" s="1"/>
  <c r="C157" i="10"/>
  <c r="F157" i="10" s="1"/>
  <c r="C158" i="10"/>
  <c r="F158" i="10" s="1"/>
  <c r="C249" i="10"/>
  <c r="F249" i="10" s="1"/>
  <c r="C255" i="10"/>
  <c r="F255" i="10" s="1"/>
  <c r="C228" i="10"/>
  <c r="F228" i="10" s="1"/>
  <c r="C224" i="10"/>
  <c r="F224" i="10" s="1"/>
  <c r="C137" i="10"/>
  <c r="F137" i="10" s="1"/>
  <c r="C229" i="10"/>
  <c r="F229" i="10" s="1"/>
  <c r="C212" i="10"/>
  <c r="F212" i="10" s="1"/>
  <c r="C160" i="10"/>
  <c r="F160" i="10" s="1"/>
  <c r="C144" i="10"/>
  <c r="F144" i="10" s="1"/>
  <c r="C183" i="10"/>
  <c r="F183" i="10" s="1"/>
  <c r="C169" i="10"/>
  <c r="F169" i="10" s="1"/>
  <c r="C162" i="10"/>
  <c r="F162" i="10" s="1"/>
  <c r="C154" i="10"/>
  <c r="F154" i="10" s="1"/>
  <c r="C252" i="10"/>
  <c r="F252" i="10" s="1"/>
  <c r="C220" i="10"/>
  <c r="F220" i="10" s="1"/>
  <c r="C141" i="10"/>
  <c r="F141" i="10" s="1"/>
  <c r="C142" i="10"/>
  <c r="F142" i="10" s="1"/>
  <c r="C244" i="10"/>
  <c r="F244" i="10" s="1"/>
  <c r="C239" i="10"/>
  <c r="F239" i="10" s="1"/>
  <c r="C196" i="10"/>
  <c r="F196" i="10" s="1"/>
  <c r="C208" i="10"/>
  <c r="F208" i="10" s="1"/>
  <c r="C192" i="10"/>
  <c r="F192" i="10" s="1"/>
  <c r="C176" i="10"/>
  <c r="F176" i="10" s="1"/>
  <c r="C273" i="10"/>
  <c r="F273" i="10" s="1"/>
  <c r="C225" i="10"/>
  <c r="F225" i="10" s="1"/>
  <c r="C232" i="10"/>
  <c r="F232" i="10" s="1"/>
  <c r="C167" i="10"/>
  <c r="F167" i="10" s="1"/>
  <c r="C73" i="10"/>
  <c r="F73" i="10" s="1"/>
  <c r="C275" i="10"/>
  <c r="F275" i="10" s="1"/>
  <c r="C138" i="10"/>
  <c r="F138" i="10" s="1"/>
  <c r="C204" i="10"/>
  <c r="F204" i="10" s="1"/>
  <c r="C188" i="10"/>
  <c r="F188" i="10" s="1"/>
  <c r="C125" i="10"/>
  <c r="F125" i="10" s="1"/>
  <c r="C126" i="10"/>
  <c r="F126" i="10" s="1"/>
  <c r="C254" i="10"/>
  <c r="F254" i="10" s="1"/>
  <c r="C223" i="10"/>
  <c r="F223" i="10" s="1"/>
  <c r="C132" i="10"/>
  <c r="F132" i="10" s="1"/>
  <c r="C68" i="10"/>
  <c r="F68" i="10" s="1"/>
  <c r="C227" i="10"/>
  <c r="F227" i="10" s="1"/>
  <c r="C159" i="10"/>
  <c r="F159" i="10" s="1"/>
  <c r="C143" i="10"/>
  <c r="F143" i="10" s="1"/>
  <c r="C118" i="10"/>
  <c r="F118" i="10" s="1"/>
  <c r="C200" i="10"/>
  <c r="F200" i="10" s="1"/>
  <c r="C151" i="10"/>
  <c r="F151" i="10" s="1"/>
  <c r="C248" i="10"/>
  <c r="F248" i="10" s="1"/>
  <c r="C91" i="10"/>
  <c r="F91" i="10" s="1"/>
  <c r="C122" i="10"/>
  <c r="F122" i="10" s="1"/>
  <c r="C172" i="10"/>
  <c r="F172" i="10" s="1"/>
  <c r="C124" i="10"/>
  <c r="F124" i="10" s="1"/>
  <c r="C109" i="10"/>
  <c r="F109" i="10" s="1"/>
  <c r="C110" i="10"/>
  <c r="F110" i="10" s="1"/>
  <c r="C30" i="10"/>
  <c r="F30" i="10" s="1"/>
  <c r="C207" i="10"/>
  <c r="F207" i="10" s="1"/>
  <c r="C191" i="10"/>
  <c r="F191" i="10" s="1"/>
  <c r="C175" i="10"/>
  <c r="F175" i="10" s="1"/>
  <c r="C260" i="10"/>
  <c r="F260" i="10" s="1"/>
  <c r="C164" i="10"/>
  <c r="F164" i="10" s="1"/>
  <c r="C201" i="10"/>
  <c r="F201" i="10" s="1"/>
  <c r="C102" i="10"/>
  <c r="F102" i="10" s="1"/>
  <c r="C168" i="10"/>
  <c r="F168" i="10" s="1"/>
  <c r="C135" i="10"/>
  <c r="F135" i="10" s="1"/>
  <c r="C216" i="10"/>
  <c r="F216" i="10" s="1"/>
  <c r="C202" i="10"/>
  <c r="F202" i="10" s="1"/>
  <c r="C106" i="10"/>
  <c r="F106" i="10" s="1"/>
  <c r="C140" i="10"/>
  <c r="F140" i="10" s="1"/>
  <c r="C251" i="10"/>
  <c r="F251" i="10" s="1"/>
  <c r="C93" i="10"/>
  <c r="F93" i="10" s="1"/>
  <c r="C94" i="10"/>
  <c r="F94" i="10" s="1"/>
  <c r="C121" i="10"/>
  <c r="F121" i="10" s="1"/>
  <c r="C277" i="10"/>
  <c r="F277" i="10" s="1"/>
  <c r="C185" i="10"/>
  <c r="F185" i="10" s="1"/>
  <c r="C116" i="10"/>
  <c r="F116" i="10" s="1"/>
  <c r="C86" i="10"/>
  <c r="F86" i="10" s="1"/>
  <c r="C136" i="10"/>
  <c r="F136" i="10" s="1"/>
  <c r="C119" i="10"/>
  <c r="F119" i="10" s="1"/>
  <c r="C184" i="10"/>
  <c r="F184" i="10" s="1"/>
  <c r="C35" i="10"/>
  <c r="F35" i="10" s="1"/>
  <c r="C90" i="10"/>
  <c r="F90" i="10" s="1"/>
  <c r="C92" i="10"/>
  <c r="F92" i="10" s="1"/>
  <c r="C219" i="10"/>
  <c r="F219" i="10" s="1"/>
  <c r="C77" i="10"/>
  <c r="F77" i="10" s="1"/>
  <c r="C78" i="10"/>
  <c r="F78" i="10" s="1"/>
  <c r="C62" i="10"/>
  <c r="F62" i="10" s="1"/>
  <c r="C46" i="10"/>
  <c r="F46" i="10" s="1"/>
  <c r="C236" i="10"/>
  <c r="F236" i="10" s="1"/>
  <c r="C156" i="10"/>
  <c r="F156" i="10" s="1"/>
  <c r="C130" i="10"/>
  <c r="F130" i="10" s="1"/>
  <c r="C180" i="10"/>
  <c r="F180" i="10" s="1"/>
  <c r="C54" i="10"/>
  <c r="F54" i="10" s="1"/>
  <c r="C87" i="10"/>
  <c r="F87" i="10" s="1"/>
  <c r="C134" i="10"/>
  <c r="F134" i="10" s="1"/>
  <c r="C58" i="10"/>
  <c r="F58" i="10" s="1"/>
  <c r="C171" i="10"/>
  <c r="F171" i="10" s="1"/>
  <c r="C250" i="10"/>
  <c r="F250" i="10" s="1"/>
  <c r="C112" i="10"/>
  <c r="F112" i="10" s="1"/>
  <c r="C114" i="10"/>
  <c r="F114" i="10" s="1"/>
  <c r="C276" i="10"/>
  <c r="F276" i="10" s="1"/>
  <c r="C278" i="10"/>
  <c r="F278" i="10" s="1"/>
  <c r="C104" i="10"/>
  <c r="F104" i="10" s="1"/>
  <c r="C42" i="10"/>
  <c r="F42" i="10" s="1"/>
  <c r="C266" i="10"/>
  <c r="F266" i="10" s="1"/>
  <c r="C128" i="10"/>
  <c r="F128" i="10" s="1"/>
  <c r="C161" i="10"/>
  <c r="F161" i="10" s="1"/>
  <c r="C177" i="10"/>
  <c r="F177" i="10" s="1"/>
  <c r="C243" i="10"/>
  <c r="F243" i="10" s="1"/>
  <c r="C245" i="10"/>
  <c r="F245" i="10" s="1"/>
  <c r="C72" i="10"/>
  <c r="F72" i="10" s="1"/>
  <c r="C199" i="10"/>
  <c r="F199" i="10" s="1"/>
  <c r="C231" i="10"/>
  <c r="F231" i="10" s="1"/>
  <c r="C145" i="10"/>
  <c r="F145" i="10" s="1"/>
  <c r="C129" i="10"/>
  <c r="F129" i="10" s="1"/>
  <c r="C259" i="10"/>
  <c r="F259" i="10" s="1"/>
  <c r="C246" i="10"/>
  <c r="F246" i="10" s="1"/>
  <c r="C39" i="10"/>
  <c r="F39" i="10" s="1"/>
  <c r="C263" i="10"/>
  <c r="F263" i="10" s="1"/>
  <c r="C57" i="10"/>
  <c r="F57" i="10" s="1"/>
  <c r="C238" i="10"/>
  <c r="F238" i="10" s="1"/>
  <c r="C64" i="10"/>
  <c r="F64" i="10" s="1"/>
  <c r="C66" i="10"/>
  <c r="F66" i="10" s="1"/>
  <c r="C195" i="10"/>
  <c r="F195" i="10" s="1"/>
  <c r="C230" i="10"/>
  <c r="F230" i="10" s="1"/>
  <c r="C105" i="10"/>
  <c r="F105" i="10" s="1"/>
  <c r="C166" i="10"/>
  <c r="F166" i="10" s="1"/>
  <c r="C221" i="10"/>
  <c r="F221" i="10" s="1"/>
  <c r="C81" i="10"/>
  <c r="F81" i="10" s="1"/>
  <c r="C33" i="10"/>
  <c r="F33" i="10" s="1"/>
  <c r="C131" i="10"/>
  <c r="F131" i="10" s="1"/>
  <c r="C133" i="10"/>
  <c r="F133" i="10" s="1"/>
  <c r="C198" i="10"/>
  <c r="F198" i="10" s="1"/>
  <c r="C69" i="10"/>
  <c r="F69" i="10" s="1"/>
  <c r="C76" i="10"/>
  <c r="F76" i="10" s="1"/>
  <c r="C206" i="10"/>
  <c r="F206" i="10" s="1"/>
  <c r="C65" i="10"/>
  <c r="F65" i="10" s="1"/>
  <c r="C32" i="10"/>
  <c r="F32" i="10" s="1"/>
  <c r="C272" i="10"/>
  <c r="F272" i="10" s="1"/>
  <c r="C34" i="10"/>
  <c r="F34" i="10" s="1"/>
  <c r="C274" i="10"/>
  <c r="F274" i="10" s="1"/>
  <c r="C147" i="10"/>
  <c r="F147" i="10" s="1"/>
  <c r="C117" i="10"/>
  <c r="F117" i="10" s="1"/>
  <c r="C101" i="10"/>
  <c r="F101" i="10" s="1"/>
  <c r="C85" i="10"/>
  <c r="F85" i="10" s="1"/>
  <c r="C51" i="10"/>
  <c r="F51" i="10" s="1"/>
  <c r="C60" i="10"/>
  <c r="F60" i="10" s="1"/>
  <c r="C190" i="10"/>
  <c r="F190" i="10" s="1"/>
  <c r="C49" i="10"/>
  <c r="F49" i="10" s="1"/>
  <c r="C256" i="10"/>
  <c r="F256" i="10" s="1"/>
  <c r="C258" i="10"/>
  <c r="F258" i="10" s="1"/>
  <c r="C99" i="10"/>
  <c r="F99" i="10" s="1"/>
  <c r="C194" i="10"/>
  <c r="F194" i="10" s="1"/>
  <c r="C186" i="10"/>
  <c r="F186" i="10" s="1"/>
  <c r="C44" i="10"/>
  <c r="F44" i="10" s="1"/>
  <c r="C174" i="10"/>
  <c r="F174" i="10" s="1"/>
  <c r="C271" i="10"/>
  <c r="F271" i="10" s="1"/>
  <c r="C240" i="10"/>
  <c r="F240" i="10" s="1"/>
  <c r="C242" i="10"/>
  <c r="F242" i="10" s="1"/>
  <c r="C146" i="10"/>
  <c r="F146" i="10" s="1"/>
  <c r="C261" i="10"/>
  <c r="F261" i="10" s="1"/>
  <c r="C36" i="10"/>
  <c r="F36" i="10" s="1"/>
  <c r="C70" i="10"/>
  <c r="F70" i="10" s="1"/>
  <c r="C88" i="10"/>
  <c r="F88" i="10" s="1"/>
  <c r="C103" i="10"/>
  <c r="F103" i="10" s="1"/>
  <c r="C152" i="10"/>
  <c r="F152" i="10" s="1"/>
  <c r="C108" i="10"/>
  <c r="F108" i="10" s="1"/>
  <c r="C74" i="10"/>
  <c r="F74" i="10" s="1"/>
  <c r="C267" i="10"/>
  <c r="F267" i="10" s="1"/>
  <c r="C187" i="10"/>
  <c r="F187" i="10" s="1"/>
  <c r="C61" i="10"/>
  <c r="F61" i="10" s="1"/>
  <c r="C45" i="10"/>
  <c r="F45" i="10" s="1"/>
  <c r="C139" i="10"/>
  <c r="F139" i="10" s="1"/>
  <c r="C123" i="10"/>
  <c r="F123" i="10" s="1"/>
  <c r="C107" i="10"/>
  <c r="F107" i="10" s="1"/>
  <c r="C257" i="10"/>
  <c r="F257" i="10" s="1"/>
  <c r="C233" i="10"/>
  <c r="F233" i="10" s="1"/>
  <c r="C56" i="10"/>
  <c r="F56" i="10" s="1"/>
  <c r="C120" i="10"/>
  <c r="F120" i="10" s="1"/>
  <c r="C235" i="10"/>
  <c r="F235" i="10" s="1"/>
  <c r="C155" i="10"/>
  <c r="F155" i="10" s="1"/>
  <c r="C234" i="10"/>
  <c r="F234" i="10" s="1"/>
  <c r="C218" i="10"/>
  <c r="F218" i="10" s="1"/>
  <c r="C209" i="10"/>
  <c r="F209" i="10" s="1"/>
  <c r="C84" i="10"/>
  <c r="F84" i="10" s="1"/>
  <c r="C38" i="10"/>
  <c r="F38" i="10" s="1"/>
  <c r="C71" i="10"/>
  <c r="F71" i="10" s="1"/>
  <c r="C37" i="10"/>
  <c r="F37" i="10" s="1"/>
  <c r="C203" i="10"/>
  <c r="F203" i="10" s="1"/>
  <c r="C127" i="10"/>
  <c r="F127" i="10" s="1"/>
  <c r="C193" i="10"/>
  <c r="F193" i="10" s="1"/>
  <c r="C96" i="10"/>
  <c r="F96" i="10" s="1"/>
  <c r="C98" i="10"/>
  <c r="F98" i="10" s="1"/>
  <c r="C100" i="10"/>
  <c r="F100" i="10" s="1"/>
  <c r="C262" i="10"/>
  <c r="F262" i="10" s="1"/>
  <c r="C55" i="10"/>
  <c r="F55" i="10" s="1"/>
  <c r="C264" i="10"/>
  <c r="F264" i="10" s="1"/>
  <c r="C237" i="10"/>
  <c r="F237" i="10" s="1"/>
  <c r="C215" i="10"/>
  <c r="F215" i="10" s="1"/>
  <c r="C111" i="10"/>
  <c r="F111" i="10" s="1"/>
  <c r="C80" i="10"/>
  <c r="F80" i="10" s="1"/>
  <c r="C82" i="10"/>
  <c r="F82" i="10" s="1"/>
  <c r="C211" i="10"/>
  <c r="F211" i="10" s="1"/>
  <c r="C165" i="10"/>
  <c r="F165" i="10" s="1"/>
  <c r="C40" i="10"/>
  <c r="F40" i="10" s="1"/>
  <c r="C247" i="10"/>
  <c r="F247" i="10" s="1"/>
  <c r="C41" i="10"/>
  <c r="F41" i="10" s="1"/>
  <c r="C95" i="10"/>
  <c r="F95" i="10" s="1"/>
  <c r="C113" i="10"/>
  <c r="F113" i="10" s="1"/>
  <c r="C97" i="10"/>
  <c r="F97" i="10" s="1"/>
  <c r="C179" i="10"/>
  <c r="F179" i="10" s="1"/>
  <c r="C149" i="10"/>
  <c r="F149" i="10" s="1"/>
  <c r="C217" i="10"/>
  <c r="F217" i="10" s="1"/>
  <c r="C89" i="10"/>
  <c r="F89" i="10" s="1"/>
  <c r="C150" i="10"/>
  <c r="F150" i="10" s="1"/>
  <c r="C222" i="10"/>
  <c r="F222" i="10" s="1"/>
  <c r="C79" i="10"/>
  <c r="F79" i="10" s="1"/>
  <c r="C48" i="10"/>
  <c r="F48" i="10" s="1"/>
  <c r="C50" i="10"/>
  <c r="F50" i="10" s="1"/>
  <c r="C163" i="10"/>
  <c r="F163" i="10" s="1"/>
  <c r="C214" i="10"/>
  <c r="F214" i="10" s="1"/>
  <c r="C182" i="10"/>
  <c r="F182" i="10" s="1"/>
  <c r="C53" i="10"/>
  <c r="F53" i="10" s="1"/>
  <c r="C205" i="10"/>
  <c r="F205" i="10" s="1"/>
  <c r="C63" i="10"/>
  <c r="F63" i="10" s="1"/>
  <c r="C67" i="10"/>
  <c r="F67" i="10" s="1"/>
  <c r="C75" i="10"/>
  <c r="F75" i="10" s="1"/>
  <c r="C189" i="10"/>
  <c r="F189" i="10" s="1"/>
  <c r="C47" i="10"/>
  <c r="F47" i="10" s="1"/>
  <c r="C153" i="10"/>
  <c r="F153" i="10" s="1"/>
  <c r="C197" i="10"/>
  <c r="F197" i="10" s="1"/>
  <c r="C115" i="10"/>
  <c r="F115" i="10" s="1"/>
  <c r="C83" i="10"/>
  <c r="F83" i="10" s="1"/>
  <c r="C178" i="10"/>
  <c r="F178" i="10" s="1"/>
  <c r="C59" i="10"/>
  <c r="F59" i="10" s="1"/>
  <c r="C173" i="10"/>
  <c r="F173" i="10" s="1"/>
  <c r="C31" i="10"/>
  <c r="F31" i="10" s="1"/>
  <c r="C213" i="10"/>
  <c r="F213" i="10" s="1"/>
  <c r="C241" i="10"/>
  <c r="F241" i="10" s="1"/>
  <c r="C226" i="10"/>
  <c r="F226" i="10" s="1"/>
  <c r="C210" i="10"/>
  <c r="F210" i="10" s="1"/>
  <c r="C269" i="10"/>
  <c r="F269" i="10" s="1"/>
  <c r="C181" i="10"/>
  <c r="F181" i="10" s="1"/>
  <c r="C148" i="10"/>
  <c r="F148" i="10" s="1"/>
  <c r="C52" i="10"/>
  <c r="F52" i="10" s="1"/>
  <c r="C253" i="10"/>
  <c r="F253" i="10" s="1"/>
  <c r="H173" i="10" l="1"/>
  <c r="G173" i="10"/>
  <c r="I173" i="10" s="1"/>
  <c r="G174" i="10"/>
  <c r="H174" i="10"/>
  <c r="G116" i="10"/>
  <c r="H116" i="10"/>
  <c r="H59" i="10"/>
  <c r="G59" i="10"/>
  <c r="I59" i="10" s="1"/>
  <c r="G44" i="10"/>
  <c r="H44" i="10"/>
  <c r="H185" i="10"/>
  <c r="G185" i="10"/>
  <c r="I185" i="10" s="1"/>
  <c r="H178" i="10"/>
  <c r="G178" i="10"/>
  <c r="I178" i="10" s="1"/>
  <c r="G186" i="10"/>
  <c r="H186" i="10"/>
  <c r="G156" i="10"/>
  <c r="H156" i="10"/>
  <c r="H229" i="10"/>
  <c r="G229" i="10"/>
  <c r="G267" i="10"/>
  <c r="H267" i="10"/>
  <c r="H236" i="10"/>
  <c r="G236" i="10"/>
  <c r="I236" i="10" s="1"/>
  <c r="G132" i="10"/>
  <c r="H132" i="10"/>
  <c r="G111" i="10"/>
  <c r="H111" i="10"/>
  <c r="G57" i="10"/>
  <c r="H57" i="10"/>
  <c r="G224" i="10"/>
  <c r="H224" i="10"/>
  <c r="G215" i="10"/>
  <c r="H215" i="10"/>
  <c r="G263" i="10"/>
  <c r="H263" i="10"/>
  <c r="G228" i="10"/>
  <c r="H228" i="10"/>
  <c r="H89" i="10"/>
  <c r="G89" i="10"/>
  <c r="I89" i="10" s="1"/>
  <c r="G69" i="10"/>
  <c r="H69" i="10"/>
  <c r="H126" i="10"/>
  <c r="G126" i="10"/>
  <c r="I126" i="10" s="1"/>
  <c r="H47" i="10"/>
  <c r="G47" i="10"/>
  <c r="I47" i="10" s="1"/>
  <c r="H264" i="10"/>
  <c r="G264" i="10"/>
  <c r="I264" i="10" s="1"/>
  <c r="H103" i="10"/>
  <c r="G103" i="10"/>
  <c r="I103" i="10" s="1"/>
  <c r="H198" i="10"/>
  <c r="G198" i="10"/>
  <c r="G276" i="10"/>
  <c r="H276" i="10"/>
  <c r="H140" i="10"/>
  <c r="G140" i="10"/>
  <c r="I140" i="10" s="1"/>
  <c r="G125" i="10"/>
  <c r="H125" i="10"/>
  <c r="G249" i="10"/>
  <c r="H249" i="10"/>
  <c r="H189" i="10"/>
  <c r="G189" i="10"/>
  <c r="I189" i="10" s="1"/>
  <c r="G55" i="10"/>
  <c r="H55" i="10"/>
  <c r="G88" i="10"/>
  <c r="H88" i="10"/>
  <c r="G133" i="10"/>
  <c r="H133" i="10"/>
  <c r="G114" i="10"/>
  <c r="H114" i="10"/>
  <c r="H106" i="10"/>
  <c r="G106" i="10"/>
  <c r="I106" i="10" s="1"/>
  <c r="H188" i="10"/>
  <c r="G188" i="10"/>
  <c r="I188" i="10" s="1"/>
  <c r="G141" i="10"/>
  <c r="H141" i="10"/>
  <c r="G181" i="10"/>
  <c r="H181" i="10"/>
  <c r="G75" i="10"/>
  <c r="H75" i="10"/>
  <c r="H179" i="10"/>
  <c r="G179" i="10"/>
  <c r="I179" i="10" s="1"/>
  <c r="G262" i="10"/>
  <c r="H262" i="10"/>
  <c r="G120" i="10"/>
  <c r="H120" i="10"/>
  <c r="G70" i="10"/>
  <c r="H70" i="10"/>
  <c r="H60" i="10"/>
  <c r="G60" i="10"/>
  <c r="I60" i="10" s="1"/>
  <c r="G131" i="10"/>
  <c r="H131" i="10"/>
  <c r="H129" i="10"/>
  <c r="G129" i="10"/>
  <c r="I129" i="10" s="1"/>
  <c r="H112" i="10"/>
  <c r="G112" i="10"/>
  <c r="I112" i="10" s="1"/>
  <c r="G92" i="10"/>
  <c r="H92" i="10"/>
  <c r="G202" i="10"/>
  <c r="H202" i="10"/>
  <c r="G122" i="10"/>
  <c r="H122" i="10"/>
  <c r="G204" i="10"/>
  <c r="H204" i="10"/>
  <c r="H220" i="10"/>
  <c r="G220" i="10"/>
  <c r="I220" i="10" s="1"/>
  <c r="G157" i="10"/>
  <c r="H157" i="10"/>
  <c r="G45" i="10"/>
  <c r="H45" i="10"/>
  <c r="H180" i="10"/>
  <c r="G180" i="10"/>
  <c r="I180" i="10" s="1"/>
  <c r="H160" i="10"/>
  <c r="G160" i="10"/>
  <c r="I160" i="10" s="1"/>
  <c r="G61" i="10"/>
  <c r="H61" i="10"/>
  <c r="G130" i="10"/>
  <c r="H130" i="10"/>
  <c r="G212" i="10"/>
  <c r="H212" i="10"/>
  <c r="H187" i="10"/>
  <c r="G187" i="10"/>
  <c r="I187" i="10" s="1"/>
  <c r="H128" i="10"/>
  <c r="G128" i="10"/>
  <c r="I128" i="10" s="1"/>
  <c r="G192" i="10"/>
  <c r="H192" i="10"/>
  <c r="G84" i="10"/>
  <c r="H84" i="10"/>
  <c r="G266" i="10"/>
  <c r="H266" i="10"/>
  <c r="H208" i="10"/>
  <c r="G208" i="10"/>
  <c r="G209" i="10"/>
  <c r="H209" i="10"/>
  <c r="H42" i="10"/>
  <c r="G42" i="10"/>
  <c r="I42" i="10" s="1"/>
  <c r="H196" i="10"/>
  <c r="G196" i="10"/>
  <c r="I196" i="10" s="1"/>
  <c r="G108" i="10"/>
  <c r="H108" i="10"/>
  <c r="G62" i="10"/>
  <c r="H62" i="10"/>
  <c r="H239" i="10"/>
  <c r="G239" i="10"/>
  <c r="I239" i="10" s="1"/>
  <c r="G237" i="10"/>
  <c r="H237" i="10"/>
  <c r="G39" i="10"/>
  <c r="H39" i="10"/>
  <c r="H109" i="10"/>
  <c r="G109" i="10"/>
  <c r="G52" i="10"/>
  <c r="H52" i="10"/>
  <c r="G217" i="10"/>
  <c r="H217" i="10"/>
  <c r="G155" i="10"/>
  <c r="H155" i="10"/>
  <c r="G49" i="10"/>
  <c r="H49" i="10"/>
  <c r="H246" i="10"/>
  <c r="G246" i="10"/>
  <c r="I246" i="10" s="1"/>
  <c r="H77" i="10"/>
  <c r="G77" i="10"/>
  <c r="I77" i="10" s="1"/>
  <c r="G124" i="10"/>
  <c r="H124" i="10"/>
  <c r="G142" i="10"/>
  <c r="H142" i="10"/>
  <c r="H148" i="10"/>
  <c r="G148" i="10"/>
  <c r="I148" i="10" s="1"/>
  <c r="G149" i="10"/>
  <c r="H149" i="10"/>
  <c r="H235" i="10"/>
  <c r="G235" i="10"/>
  <c r="I235" i="10" s="1"/>
  <c r="G190" i="10"/>
  <c r="H190" i="10"/>
  <c r="H259" i="10"/>
  <c r="G259" i="10"/>
  <c r="I259" i="10" s="1"/>
  <c r="G219" i="10"/>
  <c r="H219" i="10"/>
  <c r="H172" i="10"/>
  <c r="G172" i="10"/>
  <c r="H158" i="10"/>
  <c r="G158" i="10"/>
  <c r="H269" i="10"/>
  <c r="G269" i="10"/>
  <c r="I269" i="10" s="1"/>
  <c r="G67" i="10"/>
  <c r="H67" i="10"/>
  <c r="G97" i="10"/>
  <c r="H97" i="10"/>
  <c r="H100" i="10"/>
  <c r="G100" i="10"/>
  <c r="I100" i="10" s="1"/>
  <c r="H56" i="10"/>
  <c r="G56" i="10"/>
  <c r="I56" i="10" s="1"/>
  <c r="H36" i="10"/>
  <c r="G36" i="10"/>
  <c r="I36" i="10" s="1"/>
  <c r="H51" i="10"/>
  <c r="G51" i="10"/>
  <c r="H33" i="10"/>
  <c r="G33" i="10"/>
  <c r="G145" i="10"/>
  <c r="H145" i="10"/>
  <c r="G250" i="10"/>
  <c r="H250" i="10"/>
  <c r="G90" i="10"/>
  <c r="H90" i="10"/>
  <c r="H216" i="10"/>
  <c r="G216" i="10"/>
  <c r="I216" i="10" s="1"/>
  <c r="G91" i="10"/>
  <c r="H91" i="10"/>
  <c r="G138" i="10"/>
  <c r="H138" i="10"/>
  <c r="H252" i="10"/>
  <c r="G252" i="10"/>
  <c r="H268" i="10"/>
  <c r="G268" i="10"/>
  <c r="H163" i="10"/>
  <c r="G163" i="10"/>
  <c r="I163" i="10" s="1"/>
  <c r="H34" i="10"/>
  <c r="G34" i="10"/>
  <c r="I34" i="10" s="1"/>
  <c r="H159" i="10"/>
  <c r="G159" i="10"/>
  <c r="I159" i="10" s="1"/>
  <c r="G50" i="10"/>
  <c r="H50" i="10"/>
  <c r="H272" i="10"/>
  <c r="G272" i="10"/>
  <c r="I272" i="10" s="1"/>
  <c r="G175" i="10"/>
  <c r="H175" i="10"/>
  <c r="G48" i="10"/>
  <c r="H48" i="10"/>
  <c r="G32" i="10"/>
  <c r="H32" i="10"/>
  <c r="G277" i="10"/>
  <c r="H277" i="10"/>
  <c r="H83" i="10"/>
  <c r="G83" i="10"/>
  <c r="I83" i="10" s="1"/>
  <c r="G65" i="10"/>
  <c r="H65" i="10"/>
  <c r="G207" i="10"/>
  <c r="H207" i="10"/>
  <c r="G115" i="10"/>
  <c r="H115" i="10"/>
  <c r="G99" i="10"/>
  <c r="H99" i="10"/>
  <c r="G94" i="10"/>
  <c r="H94" i="10"/>
  <c r="H197" i="10"/>
  <c r="G197" i="10"/>
  <c r="H258" i="10"/>
  <c r="G258" i="10"/>
  <c r="I258" i="10" s="1"/>
  <c r="G93" i="10"/>
  <c r="H93" i="10"/>
  <c r="G253" i="10"/>
  <c r="H253" i="10"/>
  <c r="G152" i="10"/>
  <c r="H152" i="10"/>
  <c r="G78" i="10"/>
  <c r="H78" i="10"/>
  <c r="G244" i="10"/>
  <c r="H244" i="10"/>
  <c r="H63" i="10"/>
  <c r="G63" i="10"/>
  <c r="H233" i="10"/>
  <c r="G233" i="10"/>
  <c r="G231" i="10"/>
  <c r="H231" i="10"/>
  <c r="G248" i="10"/>
  <c r="H248" i="10"/>
  <c r="H43" i="10"/>
  <c r="G43" i="10"/>
  <c r="I43" i="10" s="1"/>
  <c r="G95" i="10"/>
  <c r="H95" i="10"/>
  <c r="H146" i="10"/>
  <c r="G146" i="10"/>
  <c r="I146" i="10" s="1"/>
  <c r="G199" i="10"/>
  <c r="H199" i="10"/>
  <c r="G168" i="10"/>
  <c r="H168" i="10"/>
  <c r="H162" i="10"/>
  <c r="G162" i="10"/>
  <c r="G241" i="10"/>
  <c r="H241" i="10"/>
  <c r="G41" i="10"/>
  <c r="H41" i="10"/>
  <c r="G193" i="10"/>
  <c r="H193" i="10"/>
  <c r="H107" i="10"/>
  <c r="G107" i="10"/>
  <c r="I107" i="10" s="1"/>
  <c r="G242" i="10"/>
  <c r="H242" i="10"/>
  <c r="G117" i="10"/>
  <c r="H117" i="10"/>
  <c r="H166" i="10"/>
  <c r="G166" i="10"/>
  <c r="G72" i="10"/>
  <c r="H72" i="10"/>
  <c r="H134" i="10"/>
  <c r="G134" i="10"/>
  <c r="I134" i="10" s="1"/>
  <c r="H119" i="10"/>
  <c r="G119" i="10"/>
  <c r="I119" i="10" s="1"/>
  <c r="H102" i="10"/>
  <c r="G102" i="10"/>
  <c r="I102" i="10" s="1"/>
  <c r="G200" i="10"/>
  <c r="H200" i="10"/>
  <c r="H167" i="10"/>
  <c r="G167" i="10"/>
  <c r="I167" i="10" s="1"/>
  <c r="G169" i="10"/>
  <c r="H169" i="10"/>
  <c r="H270" i="10"/>
  <c r="G270" i="10"/>
  <c r="G37" i="10"/>
  <c r="H37" i="10"/>
  <c r="G195" i="10"/>
  <c r="H195" i="10"/>
  <c r="G260" i="10"/>
  <c r="H260" i="10"/>
  <c r="H211" i="10"/>
  <c r="G211" i="10"/>
  <c r="I211" i="10" s="1"/>
  <c r="G66" i="10"/>
  <c r="H66" i="10"/>
  <c r="G227" i="10"/>
  <c r="H227" i="10"/>
  <c r="G38" i="10"/>
  <c r="H38" i="10"/>
  <c r="G191" i="10"/>
  <c r="H191" i="10"/>
  <c r="H79" i="10"/>
  <c r="G79" i="10"/>
  <c r="H194" i="10"/>
  <c r="G194" i="10"/>
  <c r="I194" i="10" s="1"/>
  <c r="H121" i="10"/>
  <c r="G121" i="10"/>
  <c r="I121" i="10" s="1"/>
  <c r="G222" i="10"/>
  <c r="H222" i="10"/>
  <c r="H206" i="10"/>
  <c r="G206" i="10"/>
  <c r="I206" i="10" s="1"/>
  <c r="H30" i="10"/>
  <c r="G30" i="10"/>
  <c r="I30" i="10" s="1"/>
  <c r="H218" i="10"/>
  <c r="G218" i="10"/>
  <c r="H104" i="10"/>
  <c r="G104" i="10"/>
  <c r="H254" i="10"/>
  <c r="G254" i="10"/>
  <c r="G234" i="10"/>
  <c r="H234" i="10"/>
  <c r="H278" i="10"/>
  <c r="G278" i="10"/>
  <c r="I278" i="10" s="1"/>
  <c r="G255" i="10"/>
  <c r="H255" i="10"/>
  <c r="H113" i="10"/>
  <c r="G113" i="10"/>
  <c r="I113" i="10" s="1"/>
  <c r="H261" i="10"/>
  <c r="G261" i="10"/>
  <c r="I261" i="10" s="1"/>
  <c r="H81" i="10"/>
  <c r="G81" i="10"/>
  <c r="I81" i="10" s="1"/>
  <c r="H35" i="10"/>
  <c r="G35" i="10"/>
  <c r="H154" i="10"/>
  <c r="G154" i="10"/>
  <c r="G205" i="10"/>
  <c r="H205" i="10"/>
  <c r="G257" i="10"/>
  <c r="H257" i="10"/>
  <c r="G221" i="10"/>
  <c r="H221" i="10"/>
  <c r="G184" i="10"/>
  <c r="H184" i="10"/>
  <c r="H151" i="10"/>
  <c r="G151" i="10"/>
  <c r="I151" i="10" s="1"/>
  <c r="H170" i="10"/>
  <c r="G170" i="10"/>
  <c r="I170" i="10" s="1"/>
  <c r="G53" i="10"/>
  <c r="H53" i="10"/>
  <c r="H213" i="10"/>
  <c r="G213" i="10"/>
  <c r="G182" i="10"/>
  <c r="H182" i="10"/>
  <c r="H247" i="10"/>
  <c r="G247" i="10"/>
  <c r="I247" i="10" s="1"/>
  <c r="G127" i="10"/>
  <c r="H127" i="10"/>
  <c r="H123" i="10"/>
  <c r="G123" i="10"/>
  <c r="I123" i="10" s="1"/>
  <c r="G240" i="10"/>
  <c r="H240" i="10"/>
  <c r="H147" i="10"/>
  <c r="G147" i="10"/>
  <c r="I147" i="10" s="1"/>
  <c r="G105" i="10"/>
  <c r="H105" i="10"/>
  <c r="G245" i="10"/>
  <c r="H245" i="10"/>
  <c r="H87" i="10"/>
  <c r="G87" i="10"/>
  <c r="I87" i="10" s="1"/>
  <c r="H136" i="10"/>
  <c r="G136" i="10"/>
  <c r="I136" i="10" s="1"/>
  <c r="G201" i="10"/>
  <c r="H201" i="10"/>
  <c r="H118" i="10"/>
  <c r="G118" i="10"/>
  <c r="I118" i="10" s="1"/>
  <c r="G232" i="10"/>
  <c r="H232" i="10"/>
  <c r="G183" i="10"/>
  <c r="H183" i="10"/>
  <c r="H265" i="10"/>
  <c r="G265" i="10"/>
  <c r="G165" i="10"/>
  <c r="H165" i="10"/>
  <c r="H177" i="10"/>
  <c r="G177" i="10"/>
  <c r="I177" i="10" s="1"/>
  <c r="H273" i="10"/>
  <c r="G273" i="10"/>
  <c r="I273" i="10" s="1"/>
  <c r="H71" i="10"/>
  <c r="G71" i="10"/>
  <c r="I71" i="10" s="1"/>
  <c r="H161" i="10"/>
  <c r="G161" i="10"/>
  <c r="I161" i="10" s="1"/>
  <c r="H176" i="10"/>
  <c r="G176" i="10"/>
  <c r="I176" i="10" s="1"/>
  <c r="G82" i="10"/>
  <c r="H82" i="10"/>
  <c r="G64" i="10"/>
  <c r="H64" i="10"/>
  <c r="G68" i="10"/>
  <c r="H68" i="10"/>
  <c r="H80" i="10"/>
  <c r="G80" i="10"/>
  <c r="I80" i="10" s="1"/>
  <c r="G238" i="10"/>
  <c r="H238" i="10"/>
  <c r="G137" i="10"/>
  <c r="H137" i="10"/>
  <c r="G74" i="10"/>
  <c r="H74" i="10"/>
  <c r="G46" i="10"/>
  <c r="H46" i="10"/>
  <c r="H223" i="10"/>
  <c r="G223" i="10"/>
  <c r="G150" i="10"/>
  <c r="H150" i="10"/>
  <c r="H76" i="10"/>
  <c r="G76" i="10"/>
  <c r="G110" i="10"/>
  <c r="H110" i="10"/>
  <c r="H153" i="10"/>
  <c r="G153" i="10"/>
  <c r="I153" i="10" s="1"/>
  <c r="H256" i="10"/>
  <c r="G256" i="10"/>
  <c r="I256" i="10" s="1"/>
  <c r="G251" i="10"/>
  <c r="H251" i="10"/>
  <c r="H210" i="10"/>
  <c r="G210" i="10"/>
  <c r="I210" i="10" s="1"/>
  <c r="H98" i="10"/>
  <c r="G98" i="10"/>
  <c r="G85" i="10"/>
  <c r="H85" i="10"/>
  <c r="H171" i="10"/>
  <c r="G171" i="10"/>
  <c r="H135" i="10"/>
  <c r="G135" i="10"/>
  <c r="I135" i="10" s="1"/>
  <c r="G275" i="10"/>
  <c r="H275" i="10"/>
  <c r="H226" i="10"/>
  <c r="G226" i="10"/>
  <c r="I226" i="10" s="1"/>
  <c r="G96" i="10"/>
  <c r="H96" i="10"/>
  <c r="H101" i="10"/>
  <c r="G101" i="10"/>
  <c r="I101" i="10" s="1"/>
  <c r="G58" i="10"/>
  <c r="H58" i="10"/>
  <c r="H73" i="10"/>
  <c r="G73" i="10"/>
  <c r="G31" i="10"/>
  <c r="H31" i="10"/>
  <c r="H214" i="10"/>
  <c r="G214" i="10"/>
  <c r="I214" i="10" s="1"/>
  <c r="H40" i="10"/>
  <c r="G40" i="10"/>
  <c r="I40" i="10" s="1"/>
  <c r="G203" i="10"/>
  <c r="H203" i="10"/>
  <c r="G139" i="10"/>
  <c r="H139" i="10"/>
  <c r="G271" i="10"/>
  <c r="H271" i="10"/>
  <c r="G274" i="10"/>
  <c r="H274" i="10"/>
  <c r="G230" i="10"/>
  <c r="H230" i="10"/>
  <c r="H243" i="10"/>
  <c r="G243" i="10"/>
  <c r="H54" i="10"/>
  <c r="G54" i="10"/>
  <c r="I54" i="10" s="1"/>
  <c r="G86" i="10"/>
  <c r="H86" i="10"/>
  <c r="G164" i="10"/>
  <c r="H164" i="10"/>
  <c r="G143" i="10"/>
  <c r="H143" i="10"/>
  <c r="H225" i="10"/>
  <c r="G225" i="10"/>
  <c r="I225" i="10" s="1"/>
  <c r="G144" i="10"/>
  <c r="H144" i="10"/>
  <c r="G29" i="10"/>
  <c r="H29" i="10"/>
  <c r="H8" i="10"/>
  <c r="I122" i="10" l="1"/>
  <c r="I276" i="10"/>
  <c r="I267" i="10"/>
  <c r="I116" i="10"/>
  <c r="I31" i="10"/>
  <c r="I72" i="10"/>
  <c r="I142" i="10"/>
  <c r="I209" i="10"/>
  <c r="I228" i="10"/>
  <c r="I73" i="10"/>
  <c r="I265" i="10"/>
  <c r="I35" i="10"/>
  <c r="I104" i="10"/>
  <c r="I270" i="10"/>
  <c r="I166" i="10"/>
  <c r="I63" i="10"/>
  <c r="I252" i="10"/>
  <c r="I51" i="10"/>
  <c r="I172" i="10"/>
  <c r="I208" i="10"/>
  <c r="I198" i="10"/>
  <c r="I229" i="10"/>
  <c r="I68" i="10"/>
  <c r="I130" i="10"/>
  <c r="I245" i="10"/>
  <c r="I120" i="10"/>
  <c r="I165" i="10"/>
  <c r="I37" i="10"/>
  <c r="I32" i="10"/>
  <c r="I114" i="10"/>
  <c r="I144" i="10"/>
  <c r="I274" i="10"/>
  <c r="I58" i="10"/>
  <c r="I82" i="10"/>
  <c r="I38" i="10"/>
  <c r="I169" i="10"/>
  <c r="I117" i="10"/>
  <c r="I227" i="10"/>
  <c r="I84" i="10"/>
  <c r="I186" i="10"/>
  <c r="I251" i="10"/>
  <c r="I152" i="10"/>
  <c r="I192" i="10"/>
  <c r="I203" i="10"/>
  <c r="I221" i="10"/>
  <c r="I193" i="10"/>
  <c r="I90" i="10"/>
  <c r="I108" i="10"/>
  <c r="I131" i="10"/>
  <c r="I111" i="10"/>
  <c r="I238" i="10"/>
  <c r="I257" i="10"/>
  <c r="I260" i="10"/>
  <c r="I248" i="10"/>
  <c r="I250" i="10"/>
  <c r="I149" i="10"/>
  <c r="I69" i="10"/>
  <c r="I44" i="10"/>
  <c r="I110" i="10"/>
  <c r="I182" i="10"/>
  <c r="I205" i="10"/>
  <c r="I234" i="10"/>
  <c r="I195" i="10"/>
  <c r="I241" i="10"/>
  <c r="I231" i="10"/>
  <c r="I277" i="10"/>
  <c r="I145" i="10"/>
  <c r="I52" i="10"/>
  <c r="I212" i="10"/>
  <c r="I204" i="10"/>
  <c r="I70" i="10"/>
  <c r="I46" i="10"/>
  <c r="I115" i="10"/>
  <c r="I224" i="10"/>
  <c r="I143" i="10"/>
  <c r="I184" i="10"/>
  <c r="I95" i="10"/>
  <c r="I49" i="10"/>
  <c r="I57" i="10"/>
  <c r="I137" i="10"/>
  <c r="I127" i="10"/>
  <c r="I255" i="10"/>
  <c r="I253" i="10"/>
  <c r="I155" i="10"/>
  <c r="I157" i="10"/>
  <c r="I249" i="10"/>
  <c r="I86" i="10"/>
  <c r="I275" i="10"/>
  <c r="I41" i="10"/>
  <c r="I93" i="10"/>
  <c r="I67" i="10"/>
  <c r="I217" i="10"/>
  <c r="I125" i="10"/>
  <c r="I132" i="10"/>
  <c r="I243" i="10"/>
  <c r="I171" i="10"/>
  <c r="I76" i="10"/>
  <c r="I213" i="10"/>
  <c r="I154" i="10"/>
  <c r="I254" i="10"/>
  <c r="I79" i="10"/>
  <c r="I162" i="10"/>
  <c r="I233" i="10"/>
  <c r="I197" i="10"/>
  <c r="I268" i="10"/>
  <c r="I33" i="10"/>
  <c r="I158" i="10"/>
  <c r="I109" i="10"/>
  <c r="I240" i="10"/>
  <c r="I242" i="10"/>
  <c r="I55" i="10"/>
  <c r="I139" i="10"/>
  <c r="I66" i="10"/>
  <c r="I207" i="10"/>
  <c r="I45" i="10"/>
  <c r="I164" i="10"/>
  <c r="I201" i="10"/>
  <c r="I222" i="10"/>
  <c r="I65" i="10"/>
  <c r="I97" i="10"/>
  <c r="I141" i="10"/>
  <c r="I230" i="10"/>
  <c r="I150" i="10"/>
  <c r="I105" i="10"/>
  <c r="I191" i="10"/>
  <c r="I168" i="10"/>
  <c r="I94" i="10"/>
  <c r="I48" i="10"/>
  <c r="I124" i="10"/>
  <c r="I39" i="10"/>
  <c r="I61" i="10"/>
  <c r="I202" i="10"/>
  <c r="I262" i="10"/>
  <c r="I133" i="10"/>
  <c r="I263" i="10"/>
  <c r="I174" i="10"/>
  <c r="I232" i="10"/>
  <c r="I91" i="10"/>
  <c r="I75" i="10"/>
  <c r="I74" i="10"/>
  <c r="I200" i="10"/>
  <c r="I50" i="10"/>
  <c r="I62" i="10"/>
  <c r="I29" i="10"/>
  <c r="I85" i="10"/>
  <c r="I64" i="10"/>
  <c r="I53" i="10"/>
  <c r="I98" i="10"/>
  <c r="I223" i="10"/>
  <c r="I218" i="10"/>
  <c r="I271" i="10"/>
  <c r="I78" i="10"/>
  <c r="I96" i="10"/>
  <c r="I190" i="10"/>
  <c r="I181" i="10"/>
  <c r="I183" i="10"/>
  <c r="I199" i="10"/>
  <c r="I244" i="10"/>
  <c r="I99" i="10"/>
  <c r="I175" i="10"/>
  <c r="I138" i="10"/>
  <c r="I219" i="10"/>
  <c r="I237" i="10"/>
  <c r="I266" i="10"/>
  <c r="I92" i="10"/>
  <c r="I88" i="10"/>
  <c r="I215" i="10"/>
  <c r="I156" i="10"/>
  <c r="H11" i="10" l="1"/>
  <c r="I18" i="10" s="1"/>
  <c r="I21" i="10" s="1"/>
  <c r="I15" i="10"/>
  <c r="R3" i="10" s="1"/>
  <c r="R6" i="10" s="1"/>
  <c r="I16" i="10"/>
  <c r="I23" i="10" l="1"/>
  <c r="S3" i="10"/>
  <c r="R7" i="10" s="1"/>
  <c r="R8" i="10" s="1"/>
  <c r="R9" i="10" s="1"/>
  <c r="R10" i="10" s="1"/>
  <c r="R11" i="10" s="1"/>
  <c r="R12" i="10" s="1"/>
  <c r="R13" i="10" s="1"/>
  <c r="R14" i="10" s="1"/>
  <c r="S6" i="10" s="1" a="1"/>
  <c r="I17" i="10"/>
  <c r="F13" i="10" s="1"/>
  <c r="S21" i="10" l="1"/>
  <c r="S19" i="10"/>
  <c r="S20" i="10"/>
  <c r="S11" i="10"/>
  <c r="S27" i="10"/>
  <c r="S17" i="10"/>
  <c r="S7" i="10"/>
  <c r="S24" i="10"/>
  <c r="S15" i="10"/>
  <c r="S22" i="10"/>
  <c r="S28" i="10"/>
  <c r="S14" i="10"/>
  <c r="S10" i="10"/>
  <c r="S25" i="10"/>
  <c r="S16" i="10"/>
  <c r="S18" i="10"/>
  <c r="S13" i="10"/>
  <c r="S12" i="10"/>
  <c r="S6" i="10"/>
  <c r="T6" i="10" s="1"/>
  <c r="S8" i="10"/>
  <c r="S26" i="10"/>
  <c r="S9" i="10"/>
  <c r="S23" i="10"/>
  <c r="T18" i="10" l="1"/>
  <c r="T16" i="10"/>
  <c r="T10" i="10"/>
  <c r="T7" i="10"/>
  <c r="T9" i="10"/>
  <c r="T25" i="10"/>
  <c r="T14" i="10"/>
  <c r="T22" i="10"/>
  <c r="T8" i="10"/>
  <c r="T24" i="10"/>
  <c r="T23" i="10"/>
  <c r="T15" i="10"/>
  <c r="T17" i="10"/>
  <c r="T11" i="10"/>
  <c r="T20" i="10"/>
  <c r="T12" i="10"/>
  <c r="T19" i="10"/>
  <c r="T28" i="10"/>
  <c r="T26" i="10"/>
  <c r="T27" i="10"/>
  <c r="T13" i="10"/>
  <c r="T21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Shazib Shaikh</author>
  </authors>
  <commentList>
    <comment ref="B12" authorId="0" shapeId="0" xr:uid="{372CB905-C686-4CAA-9780-750E19D4C4C4}">
      <text>
        <r>
          <rPr>
            <sz val="9"/>
            <color indexed="81"/>
            <rFont val="Tahoma"/>
            <family val="2"/>
          </rPr>
          <t xml:space="preserve">Number of periods after
order should 
= Lead Time periods
</t>
        </r>
      </text>
    </comment>
  </commentList>
</comments>
</file>

<file path=xl/sharedStrings.xml><?xml version="1.0" encoding="utf-8"?>
<sst xmlns="http://schemas.openxmlformats.org/spreadsheetml/2006/main" count="228" uniqueCount="171">
  <si>
    <t>Indigo Textiles T-shirt Exports in thousands</t>
  </si>
  <si>
    <t>Period</t>
  </si>
  <si>
    <t>Year</t>
  </si>
  <si>
    <t>Quarter</t>
  </si>
  <si>
    <t>T-Shirts (000's)</t>
  </si>
  <si>
    <t>Observations:</t>
  </si>
  <si>
    <r>
      <t>Early decline (2018–2020)</t>
    </r>
    <r>
      <rPr>
        <sz val="11"/>
        <color theme="1"/>
        <rFont val="Aptos Narrow"/>
        <family val="2"/>
        <scheme val="minor"/>
      </rPr>
      <t>: Possibly due to market shifts or global shocks (e.g., COVID).</t>
    </r>
  </si>
  <si>
    <r>
      <t>Flattened/stable period (2020–2022)</t>
    </r>
    <r>
      <rPr>
        <sz val="11"/>
        <color theme="1"/>
        <rFont val="Aptos Narrow"/>
        <family val="2"/>
        <scheme val="minor"/>
      </rPr>
      <t>: Exports plateau around 130–170K.</t>
    </r>
  </si>
  <si>
    <r>
      <t>Upward recovery (2023–2024)</t>
    </r>
    <r>
      <rPr>
        <sz val="11"/>
        <color theme="1"/>
        <rFont val="Aptos Narrow"/>
        <family val="2"/>
        <scheme val="minor"/>
      </rPr>
      <t>: Clear resurgence — great indicator for forecasting.</t>
    </r>
  </si>
  <si>
    <t>Reconstruct Time Series from components (review)</t>
  </si>
  <si>
    <t>Moving Avg - 4</t>
  </si>
  <si>
    <t>Trend (CMA - 4)</t>
  </si>
  <si>
    <t>Detrending</t>
  </si>
  <si>
    <t xml:space="preserve"> Quarter</t>
  </si>
  <si>
    <t>Seasonal Profile</t>
  </si>
  <si>
    <t>Trend + Season</t>
  </si>
  <si>
    <t>Noise</t>
  </si>
  <si>
    <t>Reconstructed time series</t>
  </si>
  <si>
    <t>Table II - Detrended time series by Years</t>
  </si>
  <si>
    <t>Adj. Seasonal Profile</t>
  </si>
  <si>
    <t>Quarter/Year</t>
  </si>
  <si>
    <t>Quater\Year</t>
  </si>
  <si>
    <t>Simple Moving Average Forecast of Level</t>
  </si>
  <si>
    <t>Simple Exponential Smoothing (SES) Forecast</t>
  </si>
  <si>
    <t>Linear Exponential Smoothing - Forecast</t>
  </si>
  <si>
    <t>Comparison of Error</t>
  </si>
  <si>
    <t>MAV</t>
  </si>
  <si>
    <t>SES</t>
  </si>
  <si>
    <t>LES</t>
  </si>
  <si>
    <t>MAD</t>
  </si>
  <si>
    <r>
      <t>alpha (</t>
    </r>
    <r>
      <rPr>
        <b/>
        <sz val="11"/>
        <color theme="1"/>
        <rFont val="Symbol"/>
        <family val="1"/>
        <charset val="2"/>
      </rPr>
      <t>a</t>
    </r>
    <r>
      <rPr>
        <b/>
        <sz val="11"/>
        <color theme="1"/>
        <rFont val="Aptos Narrow"/>
        <family val="2"/>
      </rPr>
      <t>)</t>
    </r>
  </si>
  <si>
    <t>MAD_LES</t>
  </si>
  <si>
    <t>MAPE</t>
  </si>
  <si>
    <t>MAPE_LES</t>
  </si>
  <si>
    <r>
      <t>beta (</t>
    </r>
    <r>
      <rPr>
        <b/>
        <sz val="11"/>
        <color theme="1"/>
        <rFont val="Symbol"/>
        <family val="1"/>
        <charset val="2"/>
      </rPr>
      <t>b</t>
    </r>
    <r>
      <rPr>
        <b/>
        <sz val="11"/>
        <color theme="1"/>
        <rFont val="Aptos Narrow"/>
        <family val="2"/>
      </rPr>
      <t>)</t>
    </r>
  </si>
  <si>
    <t>MSE</t>
  </si>
  <si>
    <t>MSE_LES</t>
  </si>
  <si>
    <t>RMSE</t>
  </si>
  <si>
    <t>RMSE_LES</t>
  </si>
  <si>
    <t>Training Data</t>
  </si>
  <si>
    <t>Test Data</t>
  </si>
  <si>
    <t>In-Sample</t>
  </si>
  <si>
    <t>Out-of-Sample</t>
  </si>
  <si>
    <t>MAV  Training</t>
  </si>
  <si>
    <t>MAV
Forecast</t>
  </si>
  <si>
    <t>SES Training</t>
  </si>
  <si>
    <t>SES Forecast</t>
  </si>
  <si>
    <t>Level</t>
  </si>
  <si>
    <t xml:space="preserve"> Trend (LES)</t>
  </si>
  <si>
    <t>LES Forecast</t>
  </si>
  <si>
    <t>Bias</t>
  </si>
  <si>
    <t>Root of Mean Square Error</t>
  </si>
  <si>
    <t>ME_MAV</t>
  </si>
  <si>
    <t>MAD_MAV</t>
  </si>
  <si>
    <t>MAPE_MAV</t>
  </si>
  <si>
    <t>MSE_MAV</t>
  </si>
  <si>
    <t>RMSE_MAV</t>
  </si>
  <si>
    <t>ME_SES</t>
  </si>
  <si>
    <t>MAD_SES</t>
  </si>
  <si>
    <t>RMSE_SES</t>
  </si>
  <si>
    <t>MSE_SES</t>
  </si>
  <si>
    <t>ME_LES</t>
  </si>
  <si>
    <t>MAPE_les</t>
  </si>
  <si>
    <t>(Forecast - Actual)</t>
  </si>
  <si>
    <t>e</t>
  </si>
  <si>
    <t>|e|</t>
  </si>
  <si>
    <t>|e|/actual</t>
  </si>
  <si>
    <t>e^2</t>
  </si>
  <si>
    <t>Error</t>
  </si>
  <si>
    <t>Absolute Deviation</t>
  </si>
  <si>
    <t>Absolute Percentage Error</t>
  </si>
  <si>
    <t>Squared Error</t>
  </si>
  <si>
    <t>Why LES Is the Most Appropriate Forecasting Model</t>
  </si>
  <si>
    <t>🔹 1. LES Captures Trend — the Others Don’t</t>
  </si>
  <si>
    <r>
      <t xml:space="preserve">The </t>
    </r>
    <r>
      <rPr>
        <b/>
        <sz val="11"/>
        <color theme="1"/>
        <rFont val="Aptos Narrow"/>
        <family val="2"/>
        <scheme val="minor"/>
      </rPr>
      <t>T-shirt export data shows a clear trend</t>
    </r>
    <r>
      <rPr>
        <sz val="11"/>
        <color theme="1"/>
        <rFont val="Aptos Narrow"/>
        <family val="2"/>
        <scheme val="minor"/>
      </rPr>
      <t>, especially a dip followed by recovery from 2021 onward.</t>
    </r>
  </si>
  <si>
    <r>
      <t>Moving Average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SES</t>
    </r>
    <r>
      <rPr>
        <sz val="11"/>
        <color theme="1"/>
        <rFont val="Aptos Narrow"/>
        <family val="2"/>
        <scheme val="minor"/>
      </rPr>
      <t xml:space="preserve"> only smooth values — they assume data fluctuates around a constant level.</t>
    </r>
  </si>
  <si>
    <r>
      <t>LES (Linear Exponential Smoothing)</t>
    </r>
    <r>
      <rPr>
        <sz val="11"/>
        <color theme="1"/>
        <rFont val="Aptos Narrow"/>
        <family val="2"/>
        <scheme val="minor"/>
      </rPr>
      <t xml:space="preserve"> adds a </t>
    </r>
    <r>
      <rPr>
        <b/>
        <sz val="11"/>
        <color theme="1"/>
        <rFont val="Aptos Narrow"/>
        <family val="2"/>
        <scheme val="minor"/>
      </rPr>
      <t>trend component</t>
    </r>
    <r>
      <rPr>
        <sz val="11"/>
        <color theme="1"/>
        <rFont val="Aptos Narrow"/>
        <family val="2"/>
        <scheme val="minor"/>
      </rPr>
      <t xml:space="preserve">, which allows it to forecast both the </t>
    </r>
    <r>
      <rPr>
        <b/>
        <sz val="11"/>
        <color theme="1"/>
        <rFont val="Aptos Narrow"/>
        <family val="2"/>
        <scheme val="minor"/>
      </rPr>
      <t>direction and pace of change</t>
    </r>
    <r>
      <rPr>
        <sz val="11"/>
        <color theme="1"/>
        <rFont val="Aptos Narrow"/>
        <family val="2"/>
        <scheme val="minor"/>
      </rPr>
      <t>.</t>
    </r>
  </si>
  <si>
    <t>“Unlike SES and Moving Average, LES explicitly models trend, making it better suited for data showing upward or downward momentum over time.”</t>
  </si>
  <si>
    <t>🔹 2. LES Provides the Lowest Forecast Errors</t>
  </si>
  <si>
    <t>From your final model evaluation:</t>
  </si>
  <si>
    <t>Model</t>
  </si>
  <si>
    <t>LES (α = 0.6, β = 0.2)</t>
  </si>
  <si>
    <r>
      <t>20.79</t>
    </r>
    <r>
      <rPr>
        <sz val="11"/>
        <color theme="1"/>
        <rFont val="Aptos Narrow"/>
        <family val="2"/>
        <scheme val="minor"/>
      </rPr>
      <t xml:space="preserve"> ✅</t>
    </r>
  </si>
  <si>
    <r>
      <t>16.60</t>
    </r>
    <r>
      <rPr>
        <sz val="11"/>
        <color theme="1"/>
        <rFont val="Aptos Narrow"/>
        <family val="2"/>
        <scheme val="minor"/>
      </rPr>
      <t xml:space="preserve"> ✅</t>
    </r>
  </si>
  <si>
    <r>
      <t>9.12%</t>
    </r>
    <r>
      <rPr>
        <sz val="11"/>
        <color theme="1"/>
        <rFont val="Aptos Narrow"/>
        <family val="2"/>
        <scheme val="minor"/>
      </rPr>
      <t xml:space="preserve"> ✅</t>
    </r>
  </si>
  <si>
    <t>SES (α = 0.4)</t>
  </si>
  <si>
    <t>Moving Average</t>
  </si>
  <si>
    <t>“LES outperformed other models across all key accuracy metrics, confirming its stronger predictive capability.”</t>
  </si>
  <si>
    <t>🔹 3. Balanced Responsiveness</t>
  </si>
  <si>
    <r>
      <t>SES with high α (e.g., 0.9)</t>
    </r>
    <r>
      <rPr>
        <sz val="11"/>
        <color theme="1"/>
        <rFont val="Aptos Narrow"/>
        <family val="2"/>
        <scheme val="minor"/>
      </rPr>
      <t xml:space="preserve"> was too reactive to short-term fluctuations — leading to overfitting.</t>
    </r>
  </si>
  <si>
    <r>
      <t>LES with α = 0.6, β = 0.2</t>
    </r>
    <r>
      <rPr>
        <sz val="11"/>
        <color theme="1"/>
        <rFont val="Aptos Narrow"/>
        <family val="2"/>
        <scheme val="minor"/>
      </rPr>
      <t xml:space="preserve"> showed the </t>
    </r>
    <r>
      <rPr>
        <b/>
        <sz val="11"/>
        <color theme="1"/>
        <rFont val="Aptos Narrow"/>
        <family val="2"/>
        <scheme val="minor"/>
      </rPr>
      <t>best balance</t>
    </r>
    <r>
      <rPr>
        <sz val="11"/>
        <color theme="1"/>
        <rFont val="Aptos Narrow"/>
        <family val="2"/>
        <scheme val="minor"/>
      </rPr>
      <t xml:space="preserve"> between following the trend and smoothing noise.</t>
    </r>
  </si>
  <si>
    <t>“The selected LES parameters provided a stable yet responsive model, avoiding the extremes of over-smoothing or overreacting.”</t>
  </si>
  <si>
    <t>🔹 4. Forecast Interpretability for Business Use</t>
  </si>
  <si>
    <r>
      <t xml:space="preserve">LES produces </t>
    </r>
    <r>
      <rPr>
        <b/>
        <sz val="11"/>
        <color theme="1"/>
        <rFont val="Aptos Narrow"/>
        <family val="2"/>
        <scheme val="minor"/>
      </rPr>
      <t>trend-aware forecasts</t>
    </r>
    <r>
      <rPr>
        <sz val="11"/>
        <color theme="1"/>
        <rFont val="Aptos Narrow"/>
        <family val="2"/>
        <scheme val="minor"/>
      </rPr>
      <t>, making it easier for business users to plan resources, logistics, or production schedules.</t>
    </r>
  </si>
  <si>
    <r>
      <t xml:space="preserve">Its outputs align with </t>
    </r>
    <r>
      <rPr>
        <b/>
        <sz val="11"/>
        <color theme="1"/>
        <rFont val="Aptos Narrow"/>
        <family val="2"/>
        <scheme val="minor"/>
      </rPr>
      <t>real-world seasonal cycles</t>
    </r>
    <r>
      <rPr>
        <sz val="11"/>
        <color theme="1"/>
        <rFont val="Aptos Narrow"/>
        <family val="2"/>
        <scheme val="minor"/>
      </rPr>
      <t>, providing clarity and actionable insight.</t>
    </r>
  </si>
  <si>
    <t>“The trend-based forecasting of LES aligns well with real-world business needs, such as anticipating future sales or exports over multi-quarter planning cycles.”</t>
  </si>
  <si>
    <t>Safety Stock and Re-order Point Calculations</t>
  </si>
  <si>
    <t>Tasks: After Forecast and RMSE calculations</t>
  </si>
  <si>
    <r>
      <t xml:space="preserve">Consider what is your lead time for any order           </t>
    </r>
    <r>
      <rPr>
        <sz val="11"/>
        <color theme="1"/>
        <rFont val="Aptos Narrow"/>
        <family val="2"/>
        <scheme val="minor"/>
      </rPr>
      <t>(i.e. the time from order till receiving the ordered stock)</t>
    </r>
    <r>
      <rPr>
        <b/>
        <sz val="11"/>
        <color theme="1"/>
        <rFont val="Aptos Narrow"/>
        <family val="2"/>
        <scheme val="minor"/>
      </rPr>
      <t>.</t>
    </r>
  </si>
  <si>
    <t>Lead Time</t>
  </si>
  <si>
    <t>(for calculations, should be in same units as each row in time-series)</t>
  </si>
  <si>
    <t>Right now we will assume this, but you will know this in your forecasting scenario</t>
  </si>
  <si>
    <t>Expected Lead Time Demand</t>
  </si>
  <si>
    <t>Time Periods after Order</t>
  </si>
  <si>
    <t>Forecast</t>
  </si>
  <si>
    <t>Expected Demand over Lead Time Period</t>
  </si>
  <si>
    <t>T-Shirts(000's)</t>
  </si>
  <si>
    <t>Expected LT Demand</t>
  </si>
  <si>
    <t>Safety Stock</t>
  </si>
  <si>
    <t>ROP</t>
  </si>
  <si>
    <t>What Stock-out Risk or Service Level do we want?</t>
  </si>
  <si>
    <t>Stockout Risk</t>
  </si>
  <si>
    <t>Service Level</t>
  </si>
  <si>
    <t xml:space="preserve">  '=(1- Stockout Risk)</t>
  </si>
  <si>
    <t>How many standard deviations gives us this service level?</t>
  </si>
  <si>
    <t>That is the Z-Score</t>
  </si>
  <si>
    <t>=NORM.S.INV([Service Level Probability])</t>
  </si>
  <si>
    <t>Safety stock?</t>
  </si>
  <si>
    <t>Std. Deviation or RMSE</t>
  </si>
  <si>
    <t>x</t>
  </si>
  <si>
    <t>Square Root of Lead Time</t>
  </si>
  <si>
    <t>Chosen Z-Score for Risk</t>
  </si>
  <si>
    <t>=</t>
  </si>
  <si>
    <t>Safety Stock for Lead Time</t>
  </si>
  <si>
    <t>Re-order Point  (ROP)</t>
  </si>
  <si>
    <t>Expected Demand</t>
  </si>
  <si>
    <t>+</t>
  </si>
  <si>
    <t>Simulation Tutorial - Monte Carlo Simulation Model for Expected Profit</t>
  </si>
  <si>
    <t>Bin Start</t>
  </si>
  <si>
    <t>Bin Stop</t>
  </si>
  <si>
    <t>Inputs</t>
  </si>
  <si>
    <t>Outcomes</t>
  </si>
  <si>
    <t>Risk Profile Chart Data</t>
  </si>
  <si>
    <t>Expected demand for us and profit</t>
  </si>
  <si>
    <t>Bins</t>
  </si>
  <si>
    <t>Frequency</t>
  </si>
  <si>
    <t>Cummulative %</t>
  </si>
  <si>
    <t>Unit price</t>
  </si>
  <si>
    <t xml:space="preserve">Unit cost </t>
  </si>
  <si>
    <t>Mean demand fulfilled by us</t>
  </si>
  <si>
    <t>Std of LT Demand</t>
  </si>
  <si>
    <t>units</t>
  </si>
  <si>
    <t>Risk Profile Inputs</t>
  </si>
  <si>
    <t>Mean profit</t>
  </si>
  <si>
    <t>Bin Size</t>
  </si>
  <si>
    <t>Bins Number</t>
  </si>
  <si>
    <t>Risk Profile of Profit</t>
  </si>
  <si>
    <t>Probability</t>
  </si>
  <si>
    <t>Cutoffs</t>
  </si>
  <si>
    <t>Share %</t>
  </si>
  <si>
    <t>Minimum Profit</t>
  </si>
  <si>
    <t>Maximum Profit</t>
  </si>
  <si>
    <t>Range of Profits</t>
  </si>
  <si>
    <t>Trials below Mean</t>
  </si>
  <si>
    <t>Total Trials</t>
  </si>
  <si>
    <t>Chance of below average profit</t>
  </si>
  <si>
    <t>Chance of maximum profit</t>
  </si>
  <si>
    <r>
      <t xml:space="preserve">Notes:  (1) </t>
    </r>
    <r>
      <rPr>
        <sz val="11"/>
        <color rgb="FFFF0000"/>
        <rFont val="Aptos Narrow"/>
        <family val="2"/>
        <scheme val="minor"/>
      </rPr>
      <t>Grey cells should not be changed once</t>
    </r>
  </si>
  <si>
    <t>you have learnt the formulas that go into them.</t>
  </si>
  <si>
    <t xml:space="preserve">(2) Use "Select Data" in chart right-click menu to </t>
  </si>
  <si>
    <t>adjust to only non-error part of risk profile data</t>
  </si>
  <si>
    <t>Simulated Trials of Demand and Profits</t>
  </si>
  <si>
    <t>Trial</t>
  </si>
  <si>
    <t>Random # for LT Demand</t>
  </si>
  <si>
    <t>Lead Time Demand</t>
  </si>
  <si>
    <t xml:space="preserve">Random # for Share </t>
  </si>
  <si>
    <t>Share % 
(based on 
Random #)</t>
  </si>
  <si>
    <t>Share of Lead Time Demand (Units)</t>
  </si>
  <si>
    <t>Revenue</t>
  </si>
  <si>
    <t>Costs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</si>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</sst>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-* #,##0_-;\-* #,##0_-;_-* &quot;-&quot;??_-;_-@_-"/>
    <numFmt numFmtId="165" formatCode="_-* #,##0.00_-;\-* #,##0.00_-;_-* &quot;-&quot;??_-;_-@_-"/>
    <numFmt numFmtId="166" formatCode="0.0"/>
    <numFmt numFmtId="167" formatCode="_-* #,##0.000_-;\-* #,##0.000_-;_-* &quot;-&quot;??_-;_-@_-"/>
    <numFmt numFmtId="168" formatCode="_-&quot;£&quot;* #,##0_-;\-&quot;£&quot;* #,##0_-;_-&quot;£&quot;* &quot;-&quot;??_-;_-@_-"/>
    <numFmt numFmtId="169" formatCode="_-&quot;£&quot;* #,##0.00_-;\-&quot;£&quot;* #,##0.00_-;_-&quot;£&quot;* &quot;-&quot;??_-;_-@_-"/>
    <numFmt numFmtId="170" formatCode="_-[$£-809]* #,##0_-;\-[$£-809]* #,##0_-;_-[$£-809]* &quot;-&quot;??_-;_-@_-"/>
  </numFmts>
  <fonts count="32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color indexed="10"/>
      <name val="Calibri"/>
      <family val="2"/>
    </font>
    <font>
      <sz val="11"/>
      <color theme="1" tint="0.499984740745262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000000"/>
      <name val="Calibri"/>
      <family val="2"/>
    </font>
    <font>
      <b/>
      <i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b/>
      <sz val="11"/>
      <color theme="1"/>
      <name val="Symbol"/>
      <family val="1"/>
      <charset val="2"/>
    </font>
    <font>
      <b/>
      <sz val="11"/>
      <color theme="1"/>
      <name val="Aptos Narrow"/>
      <family val="2"/>
    </font>
    <font>
      <b/>
      <sz val="11"/>
      <color rgb="FF3F3F76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sz val="9"/>
      <color indexed="81"/>
      <name val="Tahoma"/>
      <family val="2"/>
    </font>
    <font>
      <b/>
      <i/>
      <sz val="11"/>
      <color rgb="FF7030A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 tint="4.9989318521683403E-2"/>
      </top>
      <bottom/>
      <diagonal/>
    </border>
    <border>
      <left style="thin">
        <color indexed="64"/>
      </left>
      <right style="thin">
        <color theme="1" tint="4.9989318521683403E-2"/>
      </right>
      <top style="thin">
        <color indexed="64"/>
      </top>
      <bottom style="thin">
        <color indexed="64"/>
      </bottom>
      <diagonal/>
    </border>
    <border>
      <left style="thin">
        <color theme="1" tint="4.9989318521683403E-2"/>
      </left>
      <right/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/>
      <bottom style="medium">
        <color theme="9" tint="0.39997558519241921"/>
      </bottom>
      <diagonal/>
    </border>
    <border>
      <left/>
      <right/>
      <top/>
      <bottom style="thin">
        <color theme="1" tint="4.9989318521683403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 style="thin">
        <color rgb="FFB2B2B2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/>
      <top/>
      <bottom style="medium">
        <color theme="8" tint="-0.249977111117893"/>
      </bottom>
      <diagonal/>
    </border>
  </borders>
  <cellStyleXfs count="14">
    <xf numFmtId="0" fontId="0" fillId="0" borderId="0"/>
    <xf numFmtId="0" fontId="1" fillId="0" borderId="1" applyNumberFormat="0" applyFill="0" applyAlignment="0" applyProtection="0"/>
    <xf numFmtId="0" fontId="4" fillId="0" borderId="3" applyNumberFormat="0" applyFill="0" applyAlignment="0" applyProtection="0"/>
    <xf numFmtId="9" fontId="9" fillId="0" borderId="0" applyFont="0" applyFill="0" applyBorder="0" applyAlignment="0" applyProtection="0"/>
    <xf numFmtId="0" fontId="10" fillId="5" borderId="5" applyNumberFormat="0" applyAlignment="0" applyProtection="0"/>
    <xf numFmtId="0" fontId="9" fillId="6" borderId="6" applyNumberFormat="0" applyFont="0" applyAlignment="0" applyProtection="0"/>
    <xf numFmtId="0" fontId="9" fillId="7" borderId="0" applyNumberFormat="0" applyBorder="0" applyAlignment="0" applyProtection="0"/>
    <xf numFmtId="0" fontId="13" fillId="0" borderId="0"/>
    <xf numFmtId="165" fontId="9" fillId="0" borderId="0" applyFont="0" applyFill="0" applyBorder="0" applyAlignment="0" applyProtection="0"/>
    <xf numFmtId="0" fontId="20" fillId="0" borderId="14" applyNumberFormat="0" applyFill="0" applyAlignment="0" applyProtection="0"/>
    <xf numFmtId="0" fontId="21" fillId="14" borderId="0" applyNumberFormat="0" applyBorder="0" applyAlignment="0" applyProtection="0"/>
    <xf numFmtId="0" fontId="23" fillId="16" borderId="5" applyNumberFormat="0" applyAlignment="0" applyProtection="0"/>
    <xf numFmtId="0" fontId="9" fillId="17" borderId="0" applyNumberFormat="0" applyBorder="0" applyAlignment="0" applyProtection="0"/>
    <xf numFmtId="169" fontId="9" fillId="0" borderId="0" applyFont="0" applyFill="0" applyBorder="0" applyAlignment="0" applyProtection="0"/>
  </cellStyleXfs>
  <cellXfs count="174">
    <xf numFmtId="0" fontId="0" fillId="0" borderId="0" xfId="0"/>
    <xf numFmtId="0" fontId="2" fillId="2" borderId="2" xfId="0" applyFont="1" applyFill="1" applyBorder="1"/>
    <xf numFmtId="0" fontId="2" fillId="2" borderId="0" xfId="0" applyFont="1" applyFill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0" borderId="1" xfId="1" applyAlignment="1"/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0" fillId="4" borderId="0" xfId="0" applyFill="1" applyAlignment="1">
      <alignment horizontal="left"/>
    </xf>
    <xf numFmtId="2" fontId="0" fillId="4" borderId="0" xfId="0" applyNumberFormat="1" applyFill="1" applyAlignment="1">
      <alignment horizontal="center"/>
    </xf>
    <xf numFmtId="0" fontId="8" fillId="0" borderId="0" xfId="0" applyFon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2" fontId="0" fillId="0" borderId="0" xfId="0" applyNumberFormat="1"/>
    <xf numFmtId="2" fontId="5" fillId="4" borderId="0" xfId="0" applyNumberFormat="1" applyFont="1" applyFill="1" applyAlignment="1">
      <alignment horizontal="right"/>
    </xf>
    <xf numFmtId="2" fontId="5" fillId="4" borderId="0" xfId="0" applyNumberFormat="1" applyFont="1" applyFill="1"/>
    <xf numFmtId="0" fontId="6" fillId="3" borderId="0" xfId="0" applyFont="1" applyFill="1" applyAlignment="1">
      <alignment horizontal="center"/>
    </xf>
    <xf numFmtId="0" fontId="6" fillId="3" borderId="8" xfId="0" applyFont="1" applyFill="1" applyBorder="1" applyAlignment="1">
      <alignment horizontal="center"/>
    </xf>
    <xf numFmtId="2" fontId="0" fillId="4" borderId="0" xfId="0" applyNumberFormat="1" applyFill="1"/>
    <xf numFmtId="2" fontId="0" fillId="4" borderId="8" xfId="0" applyNumberFormat="1" applyFill="1" applyBorder="1"/>
    <xf numFmtId="0" fontId="0" fillId="0" borderId="9" xfId="0" applyBorder="1" applyAlignment="1">
      <alignment horizontal="left"/>
    </xf>
    <xf numFmtId="0" fontId="0" fillId="4" borderId="9" xfId="0" applyFill="1" applyBorder="1" applyAlignment="1">
      <alignment horizontal="left"/>
    </xf>
    <xf numFmtId="2" fontId="0" fillId="0" borderId="9" xfId="0" applyNumberFormat="1" applyBorder="1" applyAlignment="1">
      <alignment horizontal="center"/>
    </xf>
    <xf numFmtId="2" fontId="0" fillId="0" borderId="9" xfId="0" applyNumberFormat="1" applyBorder="1" applyAlignment="1">
      <alignment horizontal="right"/>
    </xf>
    <xf numFmtId="2" fontId="0" fillId="0" borderId="9" xfId="0" applyNumberFormat="1" applyBorder="1"/>
    <xf numFmtId="0" fontId="6" fillId="3" borderId="0" xfId="0" applyFont="1" applyFill="1"/>
    <xf numFmtId="2" fontId="0" fillId="0" borderId="10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4" borderId="0" xfId="0" applyNumberFormat="1" applyFill="1" applyAlignment="1">
      <alignment horizontal="right"/>
    </xf>
    <xf numFmtId="2" fontId="0" fillId="4" borderId="9" xfId="0" applyNumberFormat="1" applyFill="1" applyBorder="1" applyAlignment="1">
      <alignment horizontal="center"/>
    </xf>
    <xf numFmtId="2" fontId="0" fillId="4" borderId="9" xfId="0" applyNumberForma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9" xfId="0" applyBorder="1" applyAlignment="1">
      <alignment horizontal="right"/>
    </xf>
    <xf numFmtId="0" fontId="0" fillId="4" borderId="0" xfId="0" applyFill="1" applyAlignment="1">
      <alignment horizontal="right"/>
    </xf>
    <xf numFmtId="0" fontId="0" fillId="4" borderId="9" xfId="0" applyFill="1" applyBorder="1" applyAlignment="1">
      <alignment horizontal="right"/>
    </xf>
    <xf numFmtId="0" fontId="1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1" fillId="0" borderId="1" xfId="1"/>
    <xf numFmtId="0" fontId="2" fillId="0" borderId="0" xfId="0" applyFont="1"/>
    <xf numFmtId="0" fontId="12" fillId="0" borderId="0" xfId="0" quotePrefix="1" applyFont="1"/>
    <xf numFmtId="0" fontId="14" fillId="0" borderId="0" xfId="7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4" fontId="0" fillId="0" borderId="0" xfId="0" applyNumberFormat="1"/>
    <xf numFmtId="0" fontId="0" fillId="9" borderId="0" xfId="0" applyFill="1"/>
    <xf numFmtId="1" fontId="0" fillId="0" borderId="0" xfId="0" applyNumberFormat="1"/>
    <xf numFmtId="0" fontId="2" fillId="0" borderId="11" xfId="0" applyFont="1" applyBorder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wrapText="1"/>
    </xf>
    <xf numFmtId="9" fontId="0" fillId="0" borderId="0" xfId="3" applyFont="1"/>
    <xf numFmtId="164" fontId="0" fillId="0" borderId="0" xfId="8" applyNumberFormat="1" applyFont="1"/>
    <xf numFmtId="0" fontId="17" fillId="5" borderId="5" xfId="4" applyFont="1"/>
    <xf numFmtId="9" fontId="0" fillId="0" borderId="0" xfId="0" applyNumberFormat="1"/>
    <xf numFmtId="0" fontId="2" fillId="0" borderId="0" xfId="0" applyFont="1" applyAlignment="1">
      <alignment horizontal="center"/>
    </xf>
    <xf numFmtId="0" fontId="12" fillId="0" borderId="0" xfId="0" applyFont="1"/>
    <xf numFmtId="0" fontId="0" fillId="11" borderId="0" xfId="0" applyFill="1"/>
    <xf numFmtId="164" fontId="0" fillId="12" borderId="0" xfId="8" applyNumberFormat="1" applyFont="1" applyFill="1"/>
    <xf numFmtId="0" fontId="19" fillId="0" borderId="0" xfId="0" applyFont="1"/>
    <xf numFmtId="166" fontId="0" fillId="0" borderId="0" xfId="0" applyNumberFormat="1"/>
    <xf numFmtId="166" fontId="0" fillId="13" borderId="0" xfId="0" applyNumberFormat="1" applyFill="1"/>
    <xf numFmtId="164" fontId="0" fillId="0" borderId="0" xfId="0" applyNumberFormat="1" applyAlignment="1">
      <alignment horizontal="center"/>
    </xf>
    <xf numFmtId="9" fontId="0" fillId="0" borderId="0" xfId="3" applyFont="1" applyBorder="1"/>
    <xf numFmtId="164" fontId="0" fillId="0" borderId="0" xfId="8" applyNumberFormat="1" applyFont="1" applyBorder="1"/>
    <xf numFmtId="0" fontId="0" fillId="0" borderId="0" xfId="5" applyFont="1" applyFill="1" applyBorder="1" applyAlignment="1"/>
    <xf numFmtId="0" fontId="2" fillId="0" borderId="16" xfId="0" applyFont="1" applyBorder="1" applyAlignment="1">
      <alignment horizontal="center"/>
    </xf>
    <xf numFmtId="0" fontId="0" fillId="0" borderId="17" xfId="0" applyBorder="1"/>
    <xf numFmtId="0" fontId="2" fillId="0" borderId="18" xfId="0" applyFont="1" applyBorder="1" applyAlignment="1">
      <alignment horizontal="center"/>
    </xf>
    <xf numFmtId="0" fontId="0" fillId="0" borderId="19" xfId="0" applyBorder="1"/>
    <xf numFmtId="0" fontId="2" fillId="0" borderId="21" xfId="0" applyFont="1" applyBorder="1" applyAlignment="1">
      <alignment horizontal="center"/>
    </xf>
    <xf numFmtId="0" fontId="1" fillId="0" borderId="22" xfId="1" applyBorder="1"/>
    <xf numFmtId="164" fontId="18" fillId="0" borderId="0" xfId="8" applyNumberFormat="1" applyFont="1" applyFill="1"/>
    <xf numFmtId="164" fontId="18" fillId="10" borderId="0" xfId="8" applyNumberFormat="1" applyFont="1" applyFill="1"/>
    <xf numFmtId="1" fontId="0" fillId="19" borderId="0" xfId="0" applyNumberFormat="1" applyFill="1"/>
    <xf numFmtId="1" fontId="0" fillId="20" borderId="0" xfId="0" applyNumberFormat="1" applyFill="1"/>
    <xf numFmtId="2" fontId="0" fillId="18" borderId="0" xfId="0" applyNumberFormat="1" applyFill="1"/>
    <xf numFmtId="164" fontId="0" fillId="0" borderId="0" xfId="8" applyNumberFormat="1" applyFont="1" applyFill="1"/>
    <xf numFmtId="0" fontId="0" fillId="0" borderId="23" xfId="0" applyBorder="1"/>
    <xf numFmtId="0" fontId="2" fillId="0" borderId="0" xfId="0" applyFont="1" applyAlignment="1">
      <alignment horizontal="center" vertical="top"/>
    </xf>
    <xf numFmtId="0" fontId="1" fillId="0" borderId="0" xfId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21" fillId="14" borderId="0" xfId="10"/>
    <xf numFmtId="0" fontId="24" fillId="0" borderId="0" xfId="0" applyFont="1"/>
    <xf numFmtId="0" fontId="2" fillId="0" borderId="0" xfId="0" quotePrefix="1" applyFont="1"/>
    <xf numFmtId="164" fontId="25" fillId="17" borderId="0" xfId="12" applyNumberFormat="1" applyFont="1"/>
    <xf numFmtId="0" fontId="0" fillId="0" borderId="0" xfId="0" quotePrefix="1"/>
    <xf numFmtId="164" fontId="25" fillId="21" borderId="11" xfId="0" applyNumberFormat="1" applyFont="1" applyFill="1" applyBorder="1"/>
    <xf numFmtId="164" fontId="25" fillId="8" borderId="11" xfId="0" applyNumberFormat="1" applyFont="1" applyFill="1" applyBorder="1"/>
    <xf numFmtId="9" fontId="0" fillId="6" borderId="6" xfId="5" applyNumberFormat="1" applyFont="1"/>
    <xf numFmtId="167" fontId="10" fillId="5" borderId="5" xfId="8" applyNumberFormat="1" applyFont="1" applyFill="1" applyBorder="1"/>
    <xf numFmtId="0" fontId="26" fillId="0" borderId="0" xfId="0" quotePrefix="1" applyFont="1"/>
    <xf numFmtId="165" fontId="27" fillId="15" borderId="6" xfId="8" applyFont="1" applyFill="1" applyBorder="1"/>
    <xf numFmtId="165" fontId="28" fillId="14" borderId="0" xfId="8" applyFont="1" applyFill="1"/>
    <xf numFmtId="0" fontId="2" fillId="0" borderId="0" xfId="0" applyFont="1" applyAlignment="1">
      <alignment horizontal="right"/>
    </xf>
    <xf numFmtId="0" fontId="0" fillId="4" borderId="0" xfId="0" applyFill="1"/>
    <xf numFmtId="168" fontId="0" fillId="4" borderId="0" xfId="0" applyNumberFormat="1" applyFill="1"/>
    <xf numFmtId="164" fontId="10" fillId="6" borderId="6" xfId="5" applyNumberFormat="1" applyFont="1"/>
    <xf numFmtId="0" fontId="2" fillId="4" borderId="0" xfId="0" applyFont="1" applyFill="1"/>
    <xf numFmtId="168" fontId="10" fillId="6" borderId="6" xfId="13" applyNumberFormat="1" applyFont="1" applyFill="1" applyBorder="1"/>
    <xf numFmtId="0" fontId="0" fillId="4" borderId="0" xfId="0" applyFill="1" applyAlignment="1">
      <alignment horizontal="center" vertical="center" wrapText="1"/>
    </xf>
    <xf numFmtId="9" fontId="0" fillId="4" borderId="0" xfId="3" applyFont="1" applyFill="1"/>
    <xf numFmtId="0" fontId="30" fillId="0" borderId="0" xfId="0" applyFont="1"/>
    <xf numFmtId="165" fontId="23" fillId="16" borderId="5" xfId="8" applyFont="1" applyFill="1" applyBorder="1"/>
    <xf numFmtId="9" fontId="2" fillId="0" borderId="24" xfId="0" applyNumberFormat="1" applyFont="1" applyBorder="1"/>
    <xf numFmtId="0" fontId="2" fillId="0" borderId="25" xfId="0" applyFont="1" applyBorder="1"/>
    <xf numFmtId="168" fontId="23" fillId="16" borderId="5" xfId="11" applyNumberFormat="1"/>
    <xf numFmtId="9" fontId="0" fillId="6" borderId="26" xfId="5" applyNumberFormat="1" applyFont="1" applyBorder="1"/>
    <xf numFmtId="9" fontId="23" fillId="16" borderId="27" xfId="11" applyNumberFormat="1" applyBorder="1"/>
    <xf numFmtId="0" fontId="0" fillId="0" borderId="0" xfId="0" quotePrefix="1" applyAlignment="1">
      <alignment horizontal="right"/>
    </xf>
    <xf numFmtId="9" fontId="0" fillId="6" borderId="28" xfId="5" applyNumberFormat="1" applyFont="1" applyBorder="1"/>
    <xf numFmtId="9" fontId="23" fillId="16" borderId="29" xfId="11" applyNumberFormat="1" applyBorder="1"/>
    <xf numFmtId="0" fontId="23" fillId="16" borderId="5" xfId="11"/>
    <xf numFmtId="9" fontId="0" fillId="6" borderId="30" xfId="5" applyNumberFormat="1" applyFont="1" applyBorder="1"/>
    <xf numFmtId="9" fontId="0" fillId="6" borderId="31" xfId="5" applyNumberFormat="1" applyFont="1" applyBorder="1"/>
    <xf numFmtId="9" fontId="23" fillId="16" borderId="32" xfId="11" applyNumberFormat="1" applyBorder="1"/>
    <xf numFmtId="9" fontId="22" fillId="16" borderId="15" xfId="3" applyFont="1" applyFill="1" applyBorder="1" applyAlignment="1"/>
    <xf numFmtId="170" fontId="0" fillId="0" borderId="0" xfId="0" applyNumberFormat="1"/>
    <xf numFmtId="168" fontId="0" fillId="0" borderId="0" xfId="13" applyNumberFormat="1" applyFont="1"/>
    <xf numFmtId="9" fontId="0" fillId="0" borderId="0" xfId="3" applyFont="1" applyFill="1"/>
    <xf numFmtId="168" fontId="0" fillId="0" borderId="0" xfId="0" applyNumberFormat="1"/>
    <xf numFmtId="2" fontId="10" fillId="6" borderId="6" xfId="13" applyNumberFormat="1" applyFont="1" applyFill="1" applyBorder="1"/>
    <xf numFmtId="0" fontId="2" fillId="0" borderId="33" xfId="6" applyFont="1" applyFill="1" applyBorder="1"/>
    <xf numFmtId="1" fontId="9" fillId="19" borderId="6" xfId="6" applyNumberFormat="1" applyFill="1" applyBorder="1"/>
    <xf numFmtId="9" fontId="9" fillId="19" borderId="6" xfId="6" applyNumberFormat="1" applyFill="1" applyBorder="1"/>
    <xf numFmtId="164" fontId="9" fillId="19" borderId="6" xfId="6" applyNumberFormat="1" applyFill="1" applyBorder="1"/>
    <xf numFmtId="1" fontId="9" fillId="10" borderId="6" xfId="6" applyNumberFormat="1" applyFill="1" applyBorder="1"/>
    <xf numFmtId="9" fontId="9" fillId="10" borderId="6" xfId="3" applyFill="1" applyBorder="1"/>
    <xf numFmtId="164" fontId="9" fillId="10" borderId="6" xfId="6" applyNumberFormat="1" applyFill="1" applyBorder="1"/>
    <xf numFmtId="9" fontId="0" fillId="19" borderId="0" xfId="0" applyNumberFormat="1" applyFill="1"/>
    <xf numFmtId="164" fontId="0" fillId="19" borderId="0" xfId="0" applyNumberFormat="1" applyFill="1"/>
    <xf numFmtId="9" fontId="0" fillId="10" borderId="0" xfId="3" applyFont="1" applyFill="1"/>
    <xf numFmtId="1" fontId="0" fillId="10" borderId="0" xfId="0" applyNumberFormat="1" applyFill="1"/>
    <xf numFmtId="1" fontId="0" fillId="8" borderId="0" xfId="0" applyNumberFormat="1" applyFill="1"/>
    <xf numFmtId="1" fontId="9" fillId="8" borderId="6" xfId="6" applyNumberFormat="1" applyFill="1" applyBorder="1"/>
    <xf numFmtId="9" fontId="9" fillId="8" borderId="6" xfId="6" applyNumberFormat="1" applyFill="1" applyBorder="1"/>
    <xf numFmtId="164" fontId="9" fillId="8" borderId="6" xfId="6" applyNumberFormat="1" applyFill="1" applyBorder="1"/>
    <xf numFmtId="9" fontId="0" fillId="8" borderId="0" xfId="0" applyNumberFormat="1" applyFill="1"/>
    <xf numFmtId="164" fontId="0" fillId="8" borderId="0" xfId="0" applyNumberFormat="1" applyFill="1"/>
    <xf numFmtId="1" fontId="0" fillId="8" borderId="11" xfId="0" applyNumberFormat="1" applyFill="1" applyBorder="1" applyAlignment="1">
      <alignment horizontal="center"/>
    </xf>
    <xf numFmtId="9" fontId="0" fillId="8" borderId="11" xfId="3" applyFont="1" applyFill="1" applyBorder="1" applyAlignment="1">
      <alignment horizontal="center"/>
    </xf>
    <xf numFmtId="164" fontId="0" fillId="8" borderId="12" xfId="0" applyNumberFormat="1" applyFill="1" applyBorder="1"/>
    <xf numFmtId="164" fontId="0" fillId="8" borderId="11" xfId="0" applyNumberFormat="1" applyFill="1" applyBorder="1" applyAlignment="1">
      <alignment horizontal="center"/>
    </xf>
    <xf numFmtId="1" fontId="0" fillId="19" borderId="11" xfId="0" applyNumberFormat="1" applyFill="1" applyBorder="1" applyAlignment="1">
      <alignment horizontal="center"/>
    </xf>
    <xf numFmtId="9" fontId="0" fillId="19" borderId="11" xfId="3" applyFont="1" applyFill="1" applyBorder="1" applyAlignment="1">
      <alignment horizontal="center"/>
    </xf>
    <xf numFmtId="164" fontId="0" fillId="19" borderId="18" xfId="0" applyNumberFormat="1" applyFill="1" applyBorder="1" applyAlignment="1">
      <alignment horizontal="center"/>
    </xf>
    <xf numFmtId="164" fontId="0" fillId="19" borderId="20" xfId="0" applyNumberFormat="1" applyFill="1" applyBorder="1"/>
    <xf numFmtId="1" fontId="0" fillId="10" borderId="11" xfId="0" applyNumberFormat="1" applyFill="1" applyBorder="1" applyAlignment="1">
      <alignment horizontal="center"/>
    </xf>
    <xf numFmtId="9" fontId="0" fillId="10" borderId="11" xfId="3" applyFont="1" applyFill="1" applyBorder="1" applyAlignment="1">
      <alignment horizontal="center"/>
    </xf>
    <xf numFmtId="164" fontId="0" fillId="10" borderId="18" xfId="0" applyNumberFormat="1" applyFill="1" applyBorder="1" applyAlignment="1">
      <alignment horizontal="center"/>
    </xf>
    <xf numFmtId="164" fontId="0" fillId="10" borderId="21" xfId="0" applyNumberFormat="1" applyFill="1" applyBorder="1"/>
    <xf numFmtId="0" fontId="4" fillId="0" borderId="0" xfId="2" applyBorder="1"/>
    <xf numFmtId="2" fontId="5" fillId="0" borderId="0" xfId="0" applyNumberFormat="1" applyFont="1"/>
    <xf numFmtId="0" fontId="1" fillId="0" borderId="1" xfId="1" applyAlignment="1"/>
    <xf numFmtId="0" fontId="6" fillId="3" borderId="0" xfId="0" applyFont="1" applyFill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/>
    </xf>
    <xf numFmtId="0" fontId="1" fillId="0" borderId="13" xfId="1" applyBorder="1" applyAlignment="1">
      <alignment horizontal="left"/>
    </xf>
    <xf numFmtId="0" fontId="20" fillId="4" borderId="14" xfId="9" applyFill="1" applyAlignment="1">
      <alignment horizontal="center"/>
    </xf>
    <xf numFmtId="0" fontId="1" fillId="0" borderId="0" xfId="1" applyBorder="1" applyAlignment="1">
      <alignment horizontal="center"/>
    </xf>
    <xf numFmtId="0" fontId="4" fillId="0" borderId="3" xfId="2" applyAlignment="1"/>
    <xf numFmtId="0" fontId="1" fillId="0" borderId="22" xfId="1" applyBorder="1" applyAlignment="1"/>
    <xf numFmtId="0" fontId="1" fillId="0" borderId="34" xfId="1" applyBorder="1" applyAlignment="1"/>
    <xf numFmtId="164" fontId="22" fillId="16" borderId="15" xfId="8" applyNumberFormat="1" applyFont="1" applyFill="1" applyBorder="1" applyAlignment="1"/>
    <xf numFmtId="168" fontId="22" fillId="16" borderId="15" xfId="13" applyNumberFormat="1" applyFont="1" applyFill="1" applyBorder="1" applyAlignment="1"/>
    <xf numFmtId="0" fontId="31" fillId="4" borderId="6" xfId="5" applyFont="1" applyFill="1" applyAlignment="1"/>
    <xf numFmtId="0" fontId="5" fillId="4" borderId="6" xfId="5" applyFont="1" applyFill="1" applyAlignment="1"/>
  </cellXfs>
  <cellStyles count="14">
    <cellStyle name="40% - Accent1" xfId="6" builtinId="31"/>
    <cellStyle name="40% - Accent5" xfId="12" builtinId="47"/>
    <cellStyle name="Calculation" xfId="11" builtinId="22"/>
    <cellStyle name="Comma 2" xfId="8" xr:uid="{D5D1329A-2BF2-4806-8BF3-837C7BD00406}"/>
    <cellStyle name="Currency 2" xfId="13" xr:uid="{446B2E04-D388-4463-ACBD-0E3EDBFF278E}"/>
    <cellStyle name="Good" xfId="10" builtinId="26"/>
    <cellStyle name="Heading 1" xfId="2" builtinId="16"/>
    <cellStyle name="Heading 2" xfId="1" builtinId="17"/>
    <cellStyle name="Heading 3" xfId="9" builtinId="18"/>
    <cellStyle name="Input" xfId="4" builtinId="20"/>
    <cellStyle name="Normal" xfId="0" builtinId="0"/>
    <cellStyle name="Normal 2" xfId="7" xr:uid="{FBD8843F-0ED5-493D-91FB-D926B5F8AA38}"/>
    <cellStyle name="Note" xfId="5" builtinId="10"/>
    <cellStyle name="Percent" xfId="3" builtinId="5"/>
  </cellStyles>
  <dxfs count="18">
    <dxf>
      <numFmt numFmtId="168" formatCode="_-&quot;£&quot;* #,##0_-;\-&quot;£&quot;* #,##0_-;_-&quot;£&quot;* &quot;-&quot;??_-;_-@_-"/>
    </dxf>
    <dxf>
      <numFmt numFmtId="168" formatCode="_-&quot;£&quot;* #,##0_-;\-&quot;£&quot;* #,##0_-;_-&quot;£&quot;* &quot;-&quot;??_-;_-@_-"/>
    </dxf>
    <dxf>
      <numFmt numFmtId="170" formatCode="_-[$£-809]* #,##0_-;\-[$£-809]* #,##0_-;_-[$£-809]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border outline="0">
        <top style="thick">
          <color rgb="FF64BEE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ill>
        <patternFill patternType="solid">
          <fgColor theme="0" tint="-0.34998626667073579"/>
          <bgColor theme="0" tint="-0.34998626667073579"/>
        </patternFill>
      </fill>
    </dxf>
    <dxf>
      <fill>
        <patternFill>
          <bgColor theme="2" tint="-9.9948118533890809E-2"/>
        </patternFill>
      </fill>
    </dxf>
    <dxf>
      <fill>
        <patternFill patternType="solid">
          <fgColor theme="0" tint="-0.34998626667073579"/>
          <bgColor theme="0" tint="-0.1499679555650502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0" tint="-0.14999847407452621"/>
          <bgColor theme="0" tint="-0.14999847407452621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2" defaultPivotStyle="PivotStyleLight16">
    <tableStyle name="TableStyleMedium8 2" pivot="0" count="8" xr9:uid="{C6EC09B8-997C-4C75-82BD-88385060CA31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secondRowStripe" dxfId="11"/>
      <tableStyleElement type="firstColumnStripe" dxfId="10"/>
    </tableStyle>
  </tableStyles>
  <colors>
    <mruColors>
      <color rgb="FFFF7D7D"/>
      <color rgb="FFFF4F4F"/>
      <color rgb="FFEEBF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'Time Series Plot'!$D$9</c:f>
              <c:strCache>
                <c:ptCount val="1"/>
                <c:pt idx="0">
                  <c:v>T-Shirts (000's)</c:v>
                </c:pt>
              </c:strCache>
            </c:strRef>
          </c:tx>
          <c:spPr>
            <a:ln w="38100" cap="rnd">
              <a:solidFill>
                <a:schemeClr val="bg1">
                  <a:lumMod val="95000"/>
                </a:schemeClr>
              </a:solidFill>
              <a:round/>
            </a:ln>
            <a:effectLst>
              <a:outerShdw blurRad="50800" dist="76200" dir="5400000" sx="102000" sy="102000" algn="ctr" rotWithShape="0">
                <a:srgbClr val="000000">
                  <a:alpha val="43137"/>
                </a:srgbClr>
              </a:outerShdw>
              <a:softEdge rad="0"/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15875">
                <a:solidFill>
                  <a:schemeClr val="accent1">
                    <a:alpha val="95000"/>
                  </a:schemeClr>
                </a:solidFill>
                <a:round/>
              </a:ln>
              <a:effectLst>
                <a:outerShdw blurRad="50800" dist="76200" dir="5400000" sx="102000" sy="102000" algn="ctr" rotWithShape="0">
                  <a:srgbClr val="000000">
                    <a:alpha val="43137"/>
                  </a:srgbClr>
                </a:outerShdw>
                <a:softEdge rad="0"/>
              </a:effectLst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3572731351162795"/>
                  <c:y val="-0.441737579634544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multiLvlStrRef>
              <c:f>'Time Series Plot'!$B$10:$C$37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2018</c:v>
                  </c:pt>
                  <c:pt idx="1">
                    <c:v>2018</c:v>
                  </c:pt>
                  <c:pt idx="2">
                    <c:v>2018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2020</c:v>
                  </c:pt>
                  <c:pt idx="10">
                    <c:v>2020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2021</c:v>
                  </c:pt>
                  <c:pt idx="14">
                    <c:v>2021</c:v>
                  </c:pt>
                  <c:pt idx="15">
                    <c:v>2021</c:v>
                  </c:pt>
                  <c:pt idx="16">
                    <c:v>2022</c:v>
                  </c:pt>
                  <c:pt idx="17">
                    <c:v>2022</c:v>
                  </c:pt>
                  <c:pt idx="18">
                    <c:v>2022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2024</c:v>
                  </c:pt>
                  <c:pt idx="26">
                    <c:v>2024</c:v>
                  </c:pt>
                  <c:pt idx="27">
                    <c:v>2024</c:v>
                  </c:pt>
                </c:lvl>
              </c:multiLvlStrCache>
            </c:multiLvlStrRef>
          </c:cat>
          <c:val>
            <c:numRef>
              <c:f>'Time Series Plot'!$D$10:$D$37</c:f>
              <c:numCache>
                <c:formatCode>General</c:formatCode>
                <c:ptCount val="28"/>
                <c:pt idx="0">
                  <c:v>365.6</c:v>
                </c:pt>
                <c:pt idx="1">
                  <c:v>412.5</c:v>
                </c:pt>
                <c:pt idx="2">
                  <c:v>349</c:v>
                </c:pt>
                <c:pt idx="3">
                  <c:v>271.10000000000002</c:v>
                </c:pt>
                <c:pt idx="4">
                  <c:v>231.5</c:v>
                </c:pt>
                <c:pt idx="5">
                  <c:v>294.39999999999998</c:v>
                </c:pt>
                <c:pt idx="6">
                  <c:v>233.1</c:v>
                </c:pt>
                <c:pt idx="7">
                  <c:v>146.4</c:v>
                </c:pt>
                <c:pt idx="8">
                  <c:v>122.20000000000002</c:v>
                </c:pt>
                <c:pt idx="9">
                  <c:v>158.6</c:v>
                </c:pt>
                <c:pt idx="10">
                  <c:v>163</c:v>
                </c:pt>
                <c:pt idx="11">
                  <c:v>139.19999999999999</c:v>
                </c:pt>
                <c:pt idx="12">
                  <c:v>149.79999999999998</c:v>
                </c:pt>
                <c:pt idx="13">
                  <c:v>169.2</c:v>
                </c:pt>
                <c:pt idx="14">
                  <c:v>153.80000000000001</c:v>
                </c:pt>
                <c:pt idx="15">
                  <c:v>132</c:v>
                </c:pt>
                <c:pt idx="16">
                  <c:v>128.4</c:v>
                </c:pt>
                <c:pt idx="17">
                  <c:v>171.8</c:v>
                </c:pt>
                <c:pt idx="18">
                  <c:v>168.4</c:v>
                </c:pt>
                <c:pt idx="19">
                  <c:v>155.5</c:v>
                </c:pt>
                <c:pt idx="20">
                  <c:v>170.8</c:v>
                </c:pt>
                <c:pt idx="21">
                  <c:v>217.70000000000002</c:v>
                </c:pt>
                <c:pt idx="22">
                  <c:v>227.8</c:v>
                </c:pt>
                <c:pt idx="23">
                  <c:v>213.39999999999998</c:v>
                </c:pt>
                <c:pt idx="24">
                  <c:v>211</c:v>
                </c:pt>
                <c:pt idx="25">
                  <c:v>275.7</c:v>
                </c:pt>
                <c:pt idx="26">
                  <c:v>260.39999999999998</c:v>
                </c:pt>
                <c:pt idx="27">
                  <c:v>243.8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B5-4C35-BC00-AD00F09E8E0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48391615"/>
        <c:axId val="648389215"/>
      </c:lineChart>
      <c:catAx>
        <c:axId val="648391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Quater</a:t>
                </a:r>
                <a:r>
                  <a:rPr lang="en-IN" baseline="0"/>
                  <a:t> - Year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389215"/>
        <c:crosses val="autoZero"/>
        <c:auto val="1"/>
        <c:lblAlgn val="ctr"/>
        <c:lblOffset val="100"/>
        <c:noMultiLvlLbl val="0"/>
      </c:catAx>
      <c:valAx>
        <c:axId val="64838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T-Shirts</a:t>
                </a:r>
                <a:r>
                  <a:rPr lang="en-IN" baseline="0"/>
                  <a:t> (000's)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39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Fig</a:t>
            </a:r>
            <a:r>
              <a:rPr lang="en-GB" baseline="0"/>
              <a:t> A.1.1</a:t>
            </a:r>
            <a:r>
              <a:rPr lang="en-GB"/>
              <a:t> Original &amp; Reconstructed Tme Series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'A.1 Time Series Exploration'!$C$3</c:f>
              <c:strCache>
                <c:ptCount val="1"/>
                <c:pt idx="0">
                  <c:v>T-Shirts (000's)</c:v>
                </c:pt>
              </c:strCache>
            </c:strRef>
          </c:tx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'A.1 Time Series Exploration'!$B$4:$B$39</c15:sqref>
                  </c15:fullRef>
                </c:ext>
              </c:extLst>
              <c:f>'A.1 Time Series Exploration'!$B$4:$B$39</c:f>
              <c:strCache>
                <c:ptCount val="36"/>
                <c:pt idx="0">
                  <c:v>2018 - Q1</c:v>
                </c:pt>
                <c:pt idx="1">
                  <c:v>2018 - Q2</c:v>
                </c:pt>
                <c:pt idx="2">
                  <c:v>2018 - Q3</c:v>
                </c:pt>
                <c:pt idx="3">
                  <c:v>2018 - Q4</c:v>
                </c:pt>
                <c:pt idx="4">
                  <c:v>2019 - Q1</c:v>
                </c:pt>
                <c:pt idx="5">
                  <c:v>2019 - Q2</c:v>
                </c:pt>
                <c:pt idx="6">
                  <c:v>2019 - Q3</c:v>
                </c:pt>
                <c:pt idx="7">
                  <c:v>2019 - Q4</c:v>
                </c:pt>
                <c:pt idx="8">
                  <c:v>2020 - Q1</c:v>
                </c:pt>
                <c:pt idx="9">
                  <c:v>2020 - Q2</c:v>
                </c:pt>
                <c:pt idx="10">
                  <c:v>2020 - Q3</c:v>
                </c:pt>
                <c:pt idx="11">
                  <c:v>2020 - Q4</c:v>
                </c:pt>
                <c:pt idx="12">
                  <c:v>2021 - Q1</c:v>
                </c:pt>
                <c:pt idx="13">
                  <c:v>2021 - Q2</c:v>
                </c:pt>
                <c:pt idx="14">
                  <c:v>2021 - Q3</c:v>
                </c:pt>
                <c:pt idx="15">
                  <c:v>2021 - Q4</c:v>
                </c:pt>
                <c:pt idx="16">
                  <c:v>2022 - Q1</c:v>
                </c:pt>
                <c:pt idx="17">
                  <c:v>2022 - Q2</c:v>
                </c:pt>
                <c:pt idx="18">
                  <c:v>2022 - Q3</c:v>
                </c:pt>
                <c:pt idx="19">
                  <c:v>2022 - Q4</c:v>
                </c:pt>
                <c:pt idx="20">
                  <c:v>2023 - Q1</c:v>
                </c:pt>
                <c:pt idx="21">
                  <c:v>2023 - Q2</c:v>
                </c:pt>
                <c:pt idx="22">
                  <c:v>2023 - Q3</c:v>
                </c:pt>
                <c:pt idx="23">
                  <c:v>2023 - Q4</c:v>
                </c:pt>
                <c:pt idx="24">
                  <c:v>2024 - Q1</c:v>
                </c:pt>
                <c:pt idx="25">
                  <c:v>2024 - Q2</c:v>
                </c:pt>
                <c:pt idx="26">
                  <c:v>2024 - Q3</c:v>
                </c:pt>
                <c:pt idx="27">
                  <c:v>2024 - Q4</c:v>
                </c:pt>
                <c:pt idx="28">
                  <c:v>2025 - Q1</c:v>
                </c:pt>
                <c:pt idx="29">
                  <c:v>2025 - Q2</c:v>
                </c:pt>
                <c:pt idx="30">
                  <c:v>2025 - Q3</c:v>
                </c:pt>
                <c:pt idx="31">
                  <c:v>2025 - Q4</c:v>
                </c:pt>
                <c:pt idx="32">
                  <c:v>2026 - Q1</c:v>
                </c:pt>
                <c:pt idx="33">
                  <c:v>2026 - Q2</c:v>
                </c:pt>
                <c:pt idx="34">
                  <c:v>2026 - Q3</c:v>
                </c:pt>
                <c:pt idx="35">
                  <c:v>2026 -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'A.1 Time Series Exploration'!$C$4:$C$51</c15:sqref>
                  </c15:fullRef>
                </c:ext>
              </c:extLst>
              <c:f>'A.1 Time Series Exploration'!$C$4:$C$39</c:f>
              <c:numCache>
                <c:formatCode>0.00</c:formatCode>
                <c:ptCount val="36"/>
                <c:pt idx="0">
                  <c:v>365.6</c:v>
                </c:pt>
                <c:pt idx="1">
                  <c:v>412.5</c:v>
                </c:pt>
                <c:pt idx="2">
                  <c:v>349</c:v>
                </c:pt>
                <c:pt idx="3">
                  <c:v>271.10000000000002</c:v>
                </c:pt>
                <c:pt idx="4">
                  <c:v>231.5</c:v>
                </c:pt>
                <c:pt idx="5">
                  <c:v>294.39999999999998</c:v>
                </c:pt>
                <c:pt idx="6">
                  <c:v>233.1</c:v>
                </c:pt>
                <c:pt idx="7">
                  <c:v>146.4</c:v>
                </c:pt>
                <c:pt idx="8">
                  <c:v>122.20000000000002</c:v>
                </c:pt>
                <c:pt idx="9">
                  <c:v>158.6</c:v>
                </c:pt>
                <c:pt idx="10">
                  <c:v>163</c:v>
                </c:pt>
                <c:pt idx="11">
                  <c:v>139.19999999999999</c:v>
                </c:pt>
                <c:pt idx="12">
                  <c:v>149.79999999999998</c:v>
                </c:pt>
                <c:pt idx="13">
                  <c:v>169.2</c:v>
                </c:pt>
                <c:pt idx="14">
                  <c:v>153.80000000000001</c:v>
                </c:pt>
                <c:pt idx="15">
                  <c:v>132</c:v>
                </c:pt>
                <c:pt idx="16">
                  <c:v>128.4</c:v>
                </c:pt>
                <c:pt idx="17">
                  <c:v>171.8</c:v>
                </c:pt>
                <c:pt idx="18">
                  <c:v>168.4</c:v>
                </c:pt>
                <c:pt idx="19">
                  <c:v>155.5</c:v>
                </c:pt>
                <c:pt idx="20">
                  <c:v>170.8</c:v>
                </c:pt>
                <c:pt idx="21">
                  <c:v>217.70000000000002</c:v>
                </c:pt>
                <c:pt idx="22">
                  <c:v>227.8</c:v>
                </c:pt>
                <c:pt idx="23">
                  <c:v>213.39999999999998</c:v>
                </c:pt>
                <c:pt idx="24">
                  <c:v>211</c:v>
                </c:pt>
                <c:pt idx="25">
                  <c:v>275.7</c:v>
                </c:pt>
                <c:pt idx="26">
                  <c:v>260.39999999999998</c:v>
                </c:pt>
                <c:pt idx="27">
                  <c:v>243.8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3A-48D1-8105-E684E625643C}"/>
            </c:ext>
          </c:extLst>
        </c:ser>
        <c:ser>
          <c:idx val="7"/>
          <c:order val="1"/>
          <c:tx>
            <c:strRef>
              <c:f>'A.1 Time Series Exploration'!$K$3</c:f>
              <c:strCache>
                <c:ptCount val="1"/>
                <c:pt idx="0">
                  <c:v>Reconstructed time series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'A.1 Time Series Exploration'!$B$4:$B$39</c15:sqref>
                  </c15:fullRef>
                </c:ext>
              </c:extLst>
              <c:f>'A.1 Time Series Exploration'!$B$4:$B$39</c:f>
              <c:strCache>
                <c:ptCount val="36"/>
                <c:pt idx="0">
                  <c:v>2018 - Q1</c:v>
                </c:pt>
                <c:pt idx="1">
                  <c:v>2018 - Q2</c:v>
                </c:pt>
                <c:pt idx="2">
                  <c:v>2018 - Q3</c:v>
                </c:pt>
                <c:pt idx="3">
                  <c:v>2018 - Q4</c:v>
                </c:pt>
                <c:pt idx="4">
                  <c:v>2019 - Q1</c:v>
                </c:pt>
                <c:pt idx="5">
                  <c:v>2019 - Q2</c:v>
                </c:pt>
                <c:pt idx="6">
                  <c:v>2019 - Q3</c:v>
                </c:pt>
                <c:pt idx="7">
                  <c:v>2019 - Q4</c:v>
                </c:pt>
                <c:pt idx="8">
                  <c:v>2020 - Q1</c:v>
                </c:pt>
                <c:pt idx="9">
                  <c:v>2020 - Q2</c:v>
                </c:pt>
                <c:pt idx="10">
                  <c:v>2020 - Q3</c:v>
                </c:pt>
                <c:pt idx="11">
                  <c:v>2020 - Q4</c:v>
                </c:pt>
                <c:pt idx="12">
                  <c:v>2021 - Q1</c:v>
                </c:pt>
                <c:pt idx="13">
                  <c:v>2021 - Q2</c:v>
                </c:pt>
                <c:pt idx="14">
                  <c:v>2021 - Q3</c:v>
                </c:pt>
                <c:pt idx="15">
                  <c:v>2021 - Q4</c:v>
                </c:pt>
                <c:pt idx="16">
                  <c:v>2022 - Q1</c:v>
                </c:pt>
                <c:pt idx="17">
                  <c:v>2022 - Q2</c:v>
                </c:pt>
                <c:pt idx="18">
                  <c:v>2022 - Q3</c:v>
                </c:pt>
                <c:pt idx="19">
                  <c:v>2022 - Q4</c:v>
                </c:pt>
                <c:pt idx="20">
                  <c:v>2023 - Q1</c:v>
                </c:pt>
                <c:pt idx="21">
                  <c:v>2023 - Q2</c:v>
                </c:pt>
                <c:pt idx="22">
                  <c:v>2023 - Q3</c:v>
                </c:pt>
                <c:pt idx="23">
                  <c:v>2023 - Q4</c:v>
                </c:pt>
                <c:pt idx="24">
                  <c:v>2024 - Q1</c:v>
                </c:pt>
                <c:pt idx="25">
                  <c:v>2024 - Q2</c:v>
                </c:pt>
                <c:pt idx="26">
                  <c:v>2024 - Q3</c:v>
                </c:pt>
                <c:pt idx="27">
                  <c:v>2024 - Q4</c:v>
                </c:pt>
                <c:pt idx="28">
                  <c:v>2025 - Q1</c:v>
                </c:pt>
                <c:pt idx="29">
                  <c:v>2025 - Q2</c:v>
                </c:pt>
                <c:pt idx="30">
                  <c:v>2025 - Q3</c:v>
                </c:pt>
                <c:pt idx="31">
                  <c:v>2025 - Q4</c:v>
                </c:pt>
                <c:pt idx="32">
                  <c:v>2026 - Q1</c:v>
                </c:pt>
                <c:pt idx="33">
                  <c:v>2026 - Q2</c:v>
                </c:pt>
                <c:pt idx="34">
                  <c:v>2026 - Q3</c:v>
                </c:pt>
                <c:pt idx="35">
                  <c:v>2026 - Q4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'A.1 Time Series Exploration'!$K$4:$K$51</c15:sqref>
                  </c15:fullRef>
                </c:ext>
              </c:extLst>
              <c:f>'A.1 Time Series Exploration'!$K$4:$K$39</c:f>
              <c:numCache>
                <c:formatCode>0.00</c:formatCode>
                <c:ptCount val="36"/>
                <c:pt idx="2">
                  <c:v>342.61666666666667</c:v>
                </c:pt>
                <c:pt idx="3">
                  <c:v>290.44166666666661</c:v>
                </c:pt>
                <c:pt idx="4">
                  <c:v>266.3</c:v>
                </c:pt>
                <c:pt idx="5">
                  <c:v>239.3125</c:v>
                </c:pt>
                <c:pt idx="6">
                  <c:v>218.31666666666669</c:v>
                </c:pt>
                <c:pt idx="7">
                  <c:v>176.71666666666667</c:v>
                </c:pt>
                <c:pt idx="8">
                  <c:v>144.20000000000002</c:v>
                </c:pt>
                <c:pt idx="9">
                  <c:v>184.53750000000005</c:v>
                </c:pt>
                <c:pt idx="10">
                  <c:v>161.44166666666666</c:v>
                </c:pt>
                <c:pt idx="11">
                  <c:v>127.76666666666671</c:v>
                </c:pt>
                <c:pt idx="12">
                  <c:v>112.27500000000006</c:v>
                </c:pt>
                <c:pt idx="13">
                  <c:v>184.83750000000003</c:v>
                </c:pt>
                <c:pt idx="14">
                  <c:v>169.29166666666663</c:v>
                </c:pt>
                <c:pt idx="15">
                  <c:v>119.36666666666667</c:v>
                </c:pt>
                <c:pt idx="16">
                  <c:v>122.02499999999998</c:v>
                </c:pt>
                <c:pt idx="17">
                  <c:v>184.21250000000003</c:v>
                </c:pt>
                <c:pt idx="18">
                  <c:v>180.29166666666666</c:v>
                </c:pt>
                <c:pt idx="19">
                  <c:v>148.24166666666667</c:v>
                </c:pt>
                <c:pt idx="20">
                  <c:v>154.02499999999998</c:v>
                </c:pt>
                <c:pt idx="21">
                  <c:v>232.51249999999996</c:v>
                </c:pt>
                <c:pt idx="22">
                  <c:v>223.14166666666665</c:v>
                </c:pt>
                <c:pt idx="23">
                  <c:v>195.06666666666672</c:v>
                </c:pt>
                <c:pt idx="24">
                  <c:v>214.87500000000006</c:v>
                </c:pt>
                <c:pt idx="25">
                  <c:v>261.9874999999999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3A-48D1-8105-E684E6256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612816"/>
        <c:axId val="1"/>
      </c:lineChart>
      <c:catAx>
        <c:axId val="11061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2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128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Fig</a:t>
            </a:r>
            <a:r>
              <a:rPr lang="en-GB" baseline="0"/>
              <a:t> A.1.2</a:t>
            </a:r>
            <a:r>
              <a:rPr lang="en-GB"/>
              <a:t> Trend and it's analysis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'A.1 Time Series Exploration'!$E$3</c:f>
              <c:strCache>
                <c:ptCount val="1"/>
                <c:pt idx="0">
                  <c:v>Trend (CMA - 4)</c:v>
                </c:pt>
              </c:strCache>
            </c:strRef>
          </c:tx>
          <c:marker>
            <c:symbol val="none"/>
          </c:marker>
          <c:trendline>
            <c:trendlineType val="linear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cat>
            <c:strRef>
              <c:f>'A.1 Time Series Exploration'!$B$4:$B$39</c:f>
              <c:strCache>
                <c:ptCount val="36"/>
                <c:pt idx="0">
                  <c:v>2018 - Q1</c:v>
                </c:pt>
                <c:pt idx="1">
                  <c:v>2018 - Q2</c:v>
                </c:pt>
                <c:pt idx="2">
                  <c:v>2018 - Q3</c:v>
                </c:pt>
                <c:pt idx="3">
                  <c:v>2018 - Q4</c:v>
                </c:pt>
                <c:pt idx="4">
                  <c:v>2019 - Q1</c:v>
                </c:pt>
                <c:pt idx="5">
                  <c:v>2019 - Q2</c:v>
                </c:pt>
                <c:pt idx="6">
                  <c:v>2019 - Q3</c:v>
                </c:pt>
                <c:pt idx="7">
                  <c:v>2019 - Q4</c:v>
                </c:pt>
                <c:pt idx="8">
                  <c:v>2020 - Q1</c:v>
                </c:pt>
                <c:pt idx="9">
                  <c:v>2020 - Q2</c:v>
                </c:pt>
                <c:pt idx="10">
                  <c:v>2020 - Q3</c:v>
                </c:pt>
                <c:pt idx="11">
                  <c:v>2020 - Q4</c:v>
                </c:pt>
                <c:pt idx="12">
                  <c:v>2021 - Q1</c:v>
                </c:pt>
                <c:pt idx="13">
                  <c:v>2021 - Q2</c:v>
                </c:pt>
                <c:pt idx="14">
                  <c:v>2021 - Q3</c:v>
                </c:pt>
                <c:pt idx="15">
                  <c:v>2021 - Q4</c:v>
                </c:pt>
                <c:pt idx="16">
                  <c:v>2022 - Q1</c:v>
                </c:pt>
                <c:pt idx="17">
                  <c:v>2022 - Q2</c:v>
                </c:pt>
                <c:pt idx="18">
                  <c:v>2022 - Q3</c:v>
                </c:pt>
                <c:pt idx="19">
                  <c:v>2022 - Q4</c:v>
                </c:pt>
                <c:pt idx="20">
                  <c:v>2023 - Q1</c:v>
                </c:pt>
                <c:pt idx="21">
                  <c:v>2023 - Q2</c:v>
                </c:pt>
                <c:pt idx="22">
                  <c:v>2023 - Q3</c:v>
                </c:pt>
                <c:pt idx="23">
                  <c:v>2023 - Q4</c:v>
                </c:pt>
                <c:pt idx="24">
                  <c:v>2024 - Q1</c:v>
                </c:pt>
                <c:pt idx="25">
                  <c:v>2024 - Q2</c:v>
                </c:pt>
                <c:pt idx="26">
                  <c:v>2024 - Q3</c:v>
                </c:pt>
                <c:pt idx="27">
                  <c:v>2024 - Q4</c:v>
                </c:pt>
                <c:pt idx="28">
                  <c:v>2025 - Q1</c:v>
                </c:pt>
                <c:pt idx="29">
                  <c:v>2025 - Q2</c:v>
                </c:pt>
                <c:pt idx="30">
                  <c:v>2025 - Q3</c:v>
                </c:pt>
                <c:pt idx="31">
                  <c:v>2025 - Q4</c:v>
                </c:pt>
                <c:pt idx="32">
                  <c:v>2026 - Q1</c:v>
                </c:pt>
                <c:pt idx="33">
                  <c:v>2026 - Q2</c:v>
                </c:pt>
                <c:pt idx="34">
                  <c:v>2026 - Q3</c:v>
                </c:pt>
                <c:pt idx="35">
                  <c:v>2026 - Q4</c:v>
                </c:pt>
              </c:strCache>
            </c:strRef>
          </c:cat>
          <c:val>
            <c:numRef>
              <c:f>'A.1 Time Series Exploration'!$E$4:$E$39</c:f>
              <c:numCache>
                <c:formatCode>0.00</c:formatCode>
                <c:ptCount val="36"/>
                <c:pt idx="2">
                  <c:v>332.78749999999997</c:v>
                </c:pt>
                <c:pt idx="3">
                  <c:v>301.26249999999999</c:v>
                </c:pt>
                <c:pt idx="4">
                  <c:v>272.01249999999999</c:v>
                </c:pt>
                <c:pt idx="5">
                  <c:v>241.9375</c:v>
                </c:pt>
                <c:pt idx="6">
                  <c:v>212.6875</c:v>
                </c:pt>
                <c:pt idx="7">
                  <c:v>182.05</c:v>
                </c:pt>
                <c:pt idx="8">
                  <c:v>156.3125</c:v>
                </c:pt>
                <c:pt idx="9">
                  <c:v>146.65</c:v>
                </c:pt>
                <c:pt idx="10">
                  <c:v>149.19999999999999</c:v>
                </c:pt>
                <c:pt idx="11">
                  <c:v>153.97500000000002</c:v>
                </c:pt>
                <c:pt idx="12">
                  <c:v>154.15</c:v>
                </c:pt>
                <c:pt idx="13">
                  <c:v>152.1</c:v>
                </c:pt>
                <c:pt idx="14">
                  <c:v>148.52499999999998</c:v>
                </c:pt>
                <c:pt idx="15">
                  <c:v>146.17500000000001</c:v>
                </c:pt>
                <c:pt idx="16">
                  <c:v>148.32499999999999</c:v>
                </c:pt>
                <c:pt idx="17">
                  <c:v>153.08750000000001</c:v>
                </c:pt>
                <c:pt idx="18">
                  <c:v>161.32499999999999</c:v>
                </c:pt>
                <c:pt idx="19">
                  <c:v>172.36250000000001</c:v>
                </c:pt>
                <c:pt idx="20">
                  <c:v>185.52499999999998</c:v>
                </c:pt>
                <c:pt idx="21">
                  <c:v>200.1875</c:v>
                </c:pt>
                <c:pt idx="22">
                  <c:v>212.45</c:v>
                </c:pt>
                <c:pt idx="23">
                  <c:v>224.72500000000002</c:v>
                </c:pt>
                <c:pt idx="24">
                  <c:v>236.05</c:v>
                </c:pt>
                <c:pt idx="25">
                  <c:v>243.92499999999995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1-4A22-8DDE-A74CF4356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609456"/>
        <c:axId val="1"/>
      </c:lineChart>
      <c:catAx>
        <c:axId val="110609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2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0945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Fig A.1.3 Season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'A.1 Time Series Exploration'!$H$3</c:f>
              <c:strCache>
                <c:ptCount val="1"/>
                <c:pt idx="0">
                  <c:v>Seasonal Profile</c:v>
                </c:pt>
              </c:strCache>
            </c:strRef>
          </c:tx>
          <c:marker>
            <c:symbol val="none"/>
          </c:marker>
          <c:cat>
            <c:strRef>
              <c:f>'A.1 Time Series Exploration'!$B$4:$B$41</c:f>
              <c:strCache>
                <c:ptCount val="36"/>
                <c:pt idx="0">
                  <c:v>2018 - Q1</c:v>
                </c:pt>
                <c:pt idx="1">
                  <c:v>2018 - Q2</c:v>
                </c:pt>
                <c:pt idx="2">
                  <c:v>2018 - Q3</c:v>
                </c:pt>
                <c:pt idx="3">
                  <c:v>2018 - Q4</c:v>
                </c:pt>
                <c:pt idx="4">
                  <c:v>2019 - Q1</c:v>
                </c:pt>
                <c:pt idx="5">
                  <c:v>2019 - Q2</c:v>
                </c:pt>
                <c:pt idx="6">
                  <c:v>2019 - Q3</c:v>
                </c:pt>
                <c:pt idx="7">
                  <c:v>2019 - Q4</c:v>
                </c:pt>
                <c:pt idx="8">
                  <c:v>2020 - Q1</c:v>
                </c:pt>
                <c:pt idx="9">
                  <c:v>2020 - Q2</c:v>
                </c:pt>
                <c:pt idx="10">
                  <c:v>2020 - Q3</c:v>
                </c:pt>
                <c:pt idx="11">
                  <c:v>2020 - Q4</c:v>
                </c:pt>
                <c:pt idx="12">
                  <c:v>2021 - Q1</c:v>
                </c:pt>
                <c:pt idx="13">
                  <c:v>2021 - Q2</c:v>
                </c:pt>
                <c:pt idx="14">
                  <c:v>2021 - Q3</c:v>
                </c:pt>
                <c:pt idx="15">
                  <c:v>2021 - Q4</c:v>
                </c:pt>
                <c:pt idx="16">
                  <c:v>2022 - Q1</c:v>
                </c:pt>
                <c:pt idx="17">
                  <c:v>2022 - Q2</c:v>
                </c:pt>
                <c:pt idx="18">
                  <c:v>2022 - Q3</c:v>
                </c:pt>
                <c:pt idx="19">
                  <c:v>2022 - Q4</c:v>
                </c:pt>
                <c:pt idx="20">
                  <c:v>2023 - Q1</c:v>
                </c:pt>
                <c:pt idx="21">
                  <c:v>2023 - Q2</c:v>
                </c:pt>
                <c:pt idx="22">
                  <c:v>2023 - Q3</c:v>
                </c:pt>
                <c:pt idx="23">
                  <c:v>2023 - Q4</c:v>
                </c:pt>
                <c:pt idx="24">
                  <c:v>2024 - Q1</c:v>
                </c:pt>
                <c:pt idx="25">
                  <c:v>2024 - Q2</c:v>
                </c:pt>
                <c:pt idx="26">
                  <c:v>2024 - Q3</c:v>
                </c:pt>
                <c:pt idx="27">
                  <c:v>2024 - Q4</c:v>
                </c:pt>
                <c:pt idx="28">
                  <c:v>2025 - Q1</c:v>
                </c:pt>
                <c:pt idx="29">
                  <c:v>2025 - Q2</c:v>
                </c:pt>
                <c:pt idx="30">
                  <c:v>2025 - Q3</c:v>
                </c:pt>
                <c:pt idx="31">
                  <c:v>2025 - Q4</c:v>
                </c:pt>
                <c:pt idx="32">
                  <c:v>2026 - Q1</c:v>
                </c:pt>
                <c:pt idx="33">
                  <c:v>2026 - Q2</c:v>
                </c:pt>
                <c:pt idx="34">
                  <c:v>2026 - Q3</c:v>
                </c:pt>
                <c:pt idx="35">
                  <c:v>2026 - Q4</c:v>
                </c:pt>
              </c:strCache>
            </c:strRef>
          </c:cat>
          <c:val>
            <c:numRef>
              <c:f>'A.1 Time Series Exploration'!$H$4:$H$39</c:f>
              <c:numCache>
                <c:formatCode>0.00</c:formatCode>
                <c:ptCount val="36"/>
                <c:pt idx="2">
                  <c:v>13.020833333333352</c:v>
                </c:pt>
                <c:pt idx="3">
                  <c:v>-20.491666666666678</c:v>
                </c:pt>
                <c:pt idx="4">
                  <c:v>-23.112499999999994</c:v>
                </c:pt>
                <c:pt idx="5">
                  <c:v>24.918750000000003</c:v>
                </c:pt>
                <c:pt idx="6">
                  <c:v>13.020833333333352</c:v>
                </c:pt>
                <c:pt idx="7">
                  <c:v>-20.491666666666678</c:v>
                </c:pt>
                <c:pt idx="8">
                  <c:v>-23.112499999999994</c:v>
                </c:pt>
                <c:pt idx="9">
                  <c:v>24.918750000000003</c:v>
                </c:pt>
                <c:pt idx="10">
                  <c:v>13.020833333333352</c:v>
                </c:pt>
                <c:pt idx="11">
                  <c:v>-20.491666666666678</c:v>
                </c:pt>
                <c:pt idx="12">
                  <c:v>-23.112499999999994</c:v>
                </c:pt>
                <c:pt idx="13">
                  <c:v>24.918750000000003</c:v>
                </c:pt>
                <c:pt idx="14">
                  <c:v>13.020833333333352</c:v>
                </c:pt>
                <c:pt idx="15">
                  <c:v>-20.491666666666678</c:v>
                </c:pt>
                <c:pt idx="16">
                  <c:v>-23.112499999999994</c:v>
                </c:pt>
                <c:pt idx="17">
                  <c:v>24.918750000000003</c:v>
                </c:pt>
                <c:pt idx="18">
                  <c:v>13.020833333333352</c:v>
                </c:pt>
                <c:pt idx="19">
                  <c:v>-20.491666666666678</c:v>
                </c:pt>
                <c:pt idx="20">
                  <c:v>-23.112499999999994</c:v>
                </c:pt>
                <c:pt idx="21">
                  <c:v>24.918750000000003</c:v>
                </c:pt>
                <c:pt idx="22">
                  <c:v>13.020833333333352</c:v>
                </c:pt>
                <c:pt idx="23">
                  <c:v>-20.491666666666678</c:v>
                </c:pt>
                <c:pt idx="24">
                  <c:v>-23.112499999999994</c:v>
                </c:pt>
                <c:pt idx="25">
                  <c:v>24.918750000000003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9-4834-906E-C3BD582E3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82112"/>
        <c:axId val="1"/>
      </c:lineChart>
      <c:catAx>
        <c:axId val="105682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2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821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Fig A.1.4 Noise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0068837628829987E-2"/>
          <c:y val="0.17016186352539053"/>
          <c:w val="0.7743616705651607"/>
          <c:h val="0.77904229216418575"/>
        </c:manualLayout>
      </c:layout>
      <c:lineChart>
        <c:grouping val="standard"/>
        <c:varyColors val="0"/>
        <c:ser>
          <c:idx val="0"/>
          <c:order val="0"/>
          <c:tx>
            <c:strRef>
              <c:f>'A.1 Time Series Exploration'!$J$3</c:f>
              <c:strCache>
                <c:ptCount val="1"/>
                <c:pt idx="0">
                  <c:v>Noise</c:v>
                </c:pt>
              </c:strCache>
            </c:strRef>
          </c:tx>
          <c:marker>
            <c:symbol val="none"/>
          </c:marker>
          <c:cat>
            <c:strRef>
              <c:f>'A.1 Time Series Exploration'!$B$4:$B$39</c:f>
              <c:strCache>
                <c:ptCount val="36"/>
                <c:pt idx="0">
                  <c:v>2018 - Q1</c:v>
                </c:pt>
                <c:pt idx="1">
                  <c:v>2018 - Q2</c:v>
                </c:pt>
                <c:pt idx="2">
                  <c:v>2018 - Q3</c:v>
                </c:pt>
                <c:pt idx="3">
                  <c:v>2018 - Q4</c:v>
                </c:pt>
                <c:pt idx="4">
                  <c:v>2019 - Q1</c:v>
                </c:pt>
                <c:pt idx="5">
                  <c:v>2019 - Q2</c:v>
                </c:pt>
                <c:pt idx="6">
                  <c:v>2019 - Q3</c:v>
                </c:pt>
                <c:pt idx="7">
                  <c:v>2019 - Q4</c:v>
                </c:pt>
                <c:pt idx="8">
                  <c:v>2020 - Q1</c:v>
                </c:pt>
                <c:pt idx="9">
                  <c:v>2020 - Q2</c:v>
                </c:pt>
                <c:pt idx="10">
                  <c:v>2020 - Q3</c:v>
                </c:pt>
                <c:pt idx="11">
                  <c:v>2020 - Q4</c:v>
                </c:pt>
                <c:pt idx="12">
                  <c:v>2021 - Q1</c:v>
                </c:pt>
                <c:pt idx="13">
                  <c:v>2021 - Q2</c:v>
                </c:pt>
                <c:pt idx="14">
                  <c:v>2021 - Q3</c:v>
                </c:pt>
                <c:pt idx="15">
                  <c:v>2021 - Q4</c:v>
                </c:pt>
                <c:pt idx="16">
                  <c:v>2022 - Q1</c:v>
                </c:pt>
                <c:pt idx="17">
                  <c:v>2022 - Q2</c:v>
                </c:pt>
                <c:pt idx="18">
                  <c:v>2022 - Q3</c:v>
                </c:pt>
                <c:pt idx="19">
                  <c:v>2022 - Q4</c:v>
                </c:pt>
                <c:pt idx="20">
                  <c:v>2023 - Q1</c:v>
                </c:pt>
                <c:pt idx="21">
                  <c:v>2023 - Q2</c:v>
                </c:pt>
                <c:pt idx="22">
                  <c:v>2023 - Q3</c:v>
                </c:pt>
                <c:pt idx="23">
                  <c:v>2023 - Q4</c:v>
                </c:pt>
                <c:pt idx="24">
                  <c:v>2024 - Q1</c:v>
                </c:pt>
                <c:pt idx="25">
                  <c:v>2024 - Q2</c:v>
                </c:pt>
                <c:pt idx="26">
                  <c:v>2024 - Q3</c:v>
                </c:pt>
                <c:pt idx="27">
                  <c:v>2024 - Q4</c:v>
                </c:pt>
                <c:pt idx="28">
                  <c:v>2025 - Q1</c:v>
                </c:pt>
                <c:pt idx="29">
                  <c:v>2025 - Q2</c:v>
                </c:pt>
                <c:pt idx="30">
                  <c:v>2025 - Q3</c:v>
                </c:pt>
                <c:pt idx="31">
                  <c:v>2025 - Q4</c:v>
                </c:pt>
                <c:pt idx="32">
                  <c:v>2026 - Q1</c:v>
                </c:pt>
                <c:pt idx="33">
                  <c:v>2026 - Q2</c:v>
                </c:pt>
                <c:pt idx="34">
                  <c:v>2026 - Q3</c:v>
                </c:pt>
                <c:pt idx="35">
                  <c:v>2026 - Q4</c:v>
                </c:pt>
              </c:strCache>
            </c:strRef>
          </c:cat>
          <c:val>
            <c:numRef>
              <c:f>'A.1 Time Series Exploration'!$J$4:$J$39</c:f>
              <c:numCache>
                <c:formatCode>0.00</c:formatCode>
                <c:ptCount val="36"/>
                <c:pt idx="2">
                  <c:v>-3.1916666666666629</c:v>
                </c:pt>
                <c:pt idx="3">
                  <c:v>9.6708333333332916</c:v>
                </c:pt>
                <c:pt idx="4">
                  <c:v>17.400000000000006</c:v>
                </c:pt>
                <c:pt idx="5">
                  <c:v>-27.543749999999989</c:v>
                </c:pt>
                <c:pt idx="6">
                  <c:v>-7.3916666666666515</c:v>
                </c:pt>
                <c:pt idx="7">
                  <c:v>15.158333333333331</c:v>
                </c:pt>
                <c:pt idx="8">
                  <c:v>11</c:v>
                </c:pt>
                <c:pt idx="9">
                  <c:v>12.968750000000028</c:v>
                </c:pt>
                <c:pt idx="10">
                  <c:v>-0.77916666666666856</c:v>
                </c:pt>
                <c:pt idx="11">
                  <c:v>-5.7166666666666401</c:v>
                </c:pt>
                <c:pt idx="12">
                  <c:v>-18.76249999999996</c:v>
                </c:pt>
                <c:pt idx="13">
                  <c:v>7.8187500000000227</c:v>
                </c:pt>
                <c:pt idx="14">
                  <c:v>7.7458333333333087</c:v>
                </c:pt>
                <c:pt idx="15">
                  <c:v>-6.3166666666666629</c:v>
                </c:pt>
                <c:pt idx="16">
                  <c:v>-3.1875000000000142</c:v>
                </c:pt>
                <c:pt idx="17">
                  <c:v>6.2062500000000114</c:v>
                </c:pt>
                <c:pt idx="18">
                  <c:v>5.9458333333333258</c:v>
                </c:pt>
                <c:pt idx="19">
                  <c:v>-3.6291666666666629</c:v>
                </c:pt>
                <c:pt idx="20">
                  <c:v>-8.3875000000000171</c:v>
                </c:pt>
                <c:pt idx="21">
                  <c:v>7.4062499999999716</c:v>
                </c:pt>
                <c:pt idx="22">
                  <c:v>-2.3291666666666799</c:v>
                </c:pt>
                <c:pt idx="23">
                  <c:v>-9.1666666666666288</c:v>
                </c:pt>
                <c:pt idx="24">
                  <c:v>1.9375000000000284</c:v>
                </c:pt>
                <c:pt idx="25">
                  <c:v>-6.8562500000000455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BD-4D3E-A288-DA434E365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79232"/>
        <c:axId val="1"/>
      </c:lineChart>
      <c:catAx>
        <c:axId val="10567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2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792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Fig</a:t>
            </a:r>
            <a:r>
              <a:rPr lang="en-GB" baseline="0"/>
              <a:t> A.1.5</a:t>
            </a:r>
            <a:r>
              <a:rPr lang="en-GB"/>
              <a:t> Seasonal diagram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'A.1 Time Series Exploration'!$P$11</c:f>
              <c:strCache>
                <c:ptCount val="1"/>
                <c:pt idx="0">
                  <c:v>2018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cat>
            <c:numRef>
              <c:f>'A.1 Time Series Exploration'!$O$12:$O$15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'A.1 Time Series Exploration'!$P$12:$P$15</c:f>
              <c:numCache>
                <c:formatCode>0.00</c:formatCode>
                <c:ptCount val="4"/>
                <c:pt idx="2">
                  <c:v>16.212500000000034</c:v>
                </c:pt>
                <c:pt idx="3">
                  <c:v>-30.162499999999966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AC-4166-9E05-3A335C8B5361}"/>
            </c:ext>
          </c:extLst>
        </c:ser>
        <c:ser>
          <c:idx val="1"/>
          <c:order val="1"/>
          <c:tx>
            <c:strRef>
              <c:f>'A.1 Time Series Exploration'!$Q$11</c:f>
              <c:strCache>
                <c:ptCount val="1"/>
                <c:pt idx="0">
                  <c:v>2019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cat>
            <c:numRef>
              <c:f>'A.1 Time Series Exploration'!$O$12:$O$15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'A.1 Time Series Exploration'!$Q$12:$Q$15</c:f>
              <c:numCache>
                <c:formatCode>0.00</c:formatCode>
                <c:ptCount val="4"/>
                <c:pt idx="0">
                  <c:v>-40.512499999999989</c:v>
                </c:pt>
                <c:pt idx="1">
                  <c:v>52.462499999999977</c:v>
                </c:pt>
                <c:pt idx="2">
                  <c:v>20.412499999999994</c:v>
                </c:pt>
                <c:pt idx="3">
                  <c:v>-35.650000000000006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AC-4166-9E05-3A335C8B5361}"/>
            </c:ext>
          </c:extLst>
        </c:ser>
        <c:ser>
          <c:idx val="2"/>
          <c:order val="2"/>
          <c:tx>
            <c:strRef>
              <c:f>'A.1 Time Series Exploration'!$R$11</c:f>
              <c:strCache>
                <c:ptCount val="1"/>
                <c:pt idx="0">
                  <c:v>2020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cat>
            <c:numRef>
              <c:f>'A.1 Time Series Exploration'!$O$12:$O$15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'A.1 Time Series Exploration'!$R$12:$R$15</c:f>
              <c:numCache>
                <c:formatCode>0.00</c:formatCode>
                <c:ptCount val="4"/>
                <c:pt idx="0">
                  <c:v>-34.112499999999983</c:v>
                </c:pt>
                <c:pt idx="1">
                  <c:v>11.949999999999989</c:v>
                </c:pt>
                <c:pt idx="2">
                  <c:v>13.800000000000011</c:v>
                </c:pt>
                <c:pt idx="3">
                  <c:v>-14.775000000000034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AC-4166-9E05-3A335C8B5361}"/>
            </c:ext>
          </c:extLst>
        </c:ser>
        <c:ser>
          <c:idx val="3"/>
          <c:order val="3"/>
          <c:tx>
            <c:strRef>
              <c:f>'A.1 Time Series Exploration'!$S$11</c:f>
              <c:strCache>
                <c:ptCount val="1"/>
                <c:pt idx="0">
                  <c:v>2021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cat>
            <c:numRef>
              <c:f>'A.1 Time Series Exploration'!$O$12:$O$15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'A.1 Time Series Exploration'!$S$12:$S$15</c:f>
              <c:numCache>
                <c:formatCode>0.00</c:formatCode>
                <c:ptCount val="4"/>
                <c:pt idx="0">
                  <c:v>-4.3500000000000227</c:v>
                </c:pt>
                <c:pt idx="1">
                  <c:v>17.099999999999994</c:v>
                </c:pt>
                <c:pt idx="2">
                  <c:v>5.2750000000000341</c:v>
                </c:pt>
                <c:pt idx="3">
                  <c:v>-14.175000000000011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AC-4166-9E05-3A335C8B5361}"/>
            </c:ext>
          </c:extLst>
        </c:ser>
        <c:ser>
          <c:idx val="4"/>
          <c:order val="4"/>
          <c:tx>
            <c:strRef>
              <c:f>'A.1 Time Series Exploration'!$T$11</c:f>
              <c:strCache>
                <c:ptCount val="1"/>
                <c:pt idx="0">
                  <c:v>2022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cat>
            <c:numRef>
              <c:f>'A.1 Time Series Exploration'!$O$12:$O$15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'A.1 Time Series Exploration'!$T$12:$T$15</c:f>
              <c:numCache>
                <c:formatCode>0.00</c:formatCode>
                <c:ptCount val="4"/>
                <c:pt idx="0">
                  <c:v>-19.924999999999983</c:v>
                </c:pt>
                <c:pt idx="1">
                  <c:v>18.712500000000006</c:v>
                </c:pt>
                <c:pt idx="2">
                  <c:v>7.0750000000000171</c:v>
                </c:pt>
                <c:pt idx="3">
                  <c:v>-16.862500000000011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AC-4166-9E05-3A335C8B5361}"/>
            </c:ext>
          </c:extLst>
        </c:ser>
        <c:ser>
          <c:idx val="5"/>
          <c:order val="5"/>
          <c:tx>
            <c:strRef>
              <c:f>'A.1 Time Series Exploration'!$U$11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cat>
            <c:numRef>
              <c:f>'A.1 Time Series Exploration'!$O$12:$O$15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'A.1 Time Series Exploration'!$U$12:$U$15</c:f>
              <c:numCache>
                <c:formatCode>0.00</c:formatCode>
                <c:ptCount val="4"/>
                <c:pt idx="0">
                  <c:v>-14.724999999999966</c:v>
                </c:pt>
                <c:pt idx="1">
                  <c:v>17.512500000000017</c:v>
                </c:pt>
                <c:pt idx="2">
                  <c:v>15.350000000000023</c:v>
                </c:pt>
                <c:pt idx="3">
                  <c:v>-11.325000000000045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3AC-4166-9E05-3A335C8B5361}"/>
            </c:ext>
          </c:extLst>
        </c:ser>
        <c:ser>
          <c:idx val="6"/>
          <c:order val="6"/>
          <c:tx>
            <c:strRef>
              <c:f>'A.1 Time Series Exploration'!$V$11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cat>
            <c:numRef>
              <c:f>'A.1 Time Series Exploration'!$O$12:$O$15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'A.1 Time Series Exploration'!$V$12:$V$15</c:f>
              <c:numCache>
                <c:formatCode>0.00</c:formatCode>
                <c:ptCount val="4"/>
                <c:pt idx="0">
                  <c:v>-25.050000000000011</c:v>
                </c:pt>
                <c:pt idx="1">
                  <c:v>31.775000000000034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AC-4166-9E05-3A335C8B5361}"/>
            </c:ext>
          </c:extLst>
        </c:ser>
        <c:ser>
          <c:idx val="7"/>
          <c:order val="7"/>
          <c:tx>
            <c:strRef>
              <c:f>'A.1 Time Series Exploration'!$Z$10:$Z$11</c:f>
              <c:strCache>
                <c:ptCount val="2"/>
                <c:pt idx="0">
                  <c:v>Seasonal Profile</c:v>
                </c:pt>
                <c:pt idx="1">
                  <c:v>Quater\Year</c:v>
                </c:pt>
              </c:strCache>
            </c:strRef>
          </c:tx>
          <c:spPr>
            <a:ln w="50800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val>
            <c:numRef>
              <c:f>'A.1 Time Series Exploration'!$Z$12:$Z$15</c:f>
              <c:numCache>
                <c:formatCode>0.00</c:formatCode>
                <c:ptCount val="4"/>
                <c:pt idx="0">
                  <c:v>-23.112499999999994</c:v>
                </c:pt>
                <c:pt idx="1">
                  <c:v>24.918750000000003</c:v>
                </c:pt>
                <c:pt idx="2">
                  <c:v>13.020833333333352</c:v>
                </c:pt>
                <c:pt idx="3">
                  <c:v>-20.491666666666678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3AC-4166-9E05-3A335C8B5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7786047"/>
        <c:axId val="1"/>
      </c:lineChart>
      <c:catAx>
        <c:axId val="987786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/>
                  <a:t>Quater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78604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839456180644687"/>
          <c:y val="0.14084312832663184"/>
          <c:w val="0.17347793900199665"/>
          <c:h val="0.45877124606721048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9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T-Shirts(000's)</a:t>
            </a:r>
            <a:r>
              <a:rPr lang="en-GB" baseline="0"/>
              <a:t> Sales</a:t>
            </a:r>
            <a:r>
              <a:rPr lang="en-GB"/>
              <a:t> - Moving Average Forecasting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'A.2 &amp; A.3 Time Series Models'!$C$8</c:f>
              <c:strCache>
                <c:ptCount val="1"/>
                <c:pt idx="0">
                  <c:v>T-Shirts (000's)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'A.2 &amp; A.3 Time Series Models'!$B$9:$B$44</c:f>
              <c:strCache>
                <c:ptCount val="36"/>
                <c:pt idx="0">
                  <c:v>2018 - Q1</c:v>
                </c:pt>
                <c:pt idx="1">
                  <c:v>2018 - Q2</c:v>
                </c:pt>
                <c:pt idx="2">
                  <c:v>2018 - Q3</c:v>
                </c:pt>
                <c:pt idx="3">
                  <c:v>2018 - Q4</c:v>
                </c:pt>
                <c:pt idx="4">
                  <c:v>2019 - Q1</c:v>
                </c:pt>
                <c:pt idx="5">
                  <c:v>2019 - Q2</c:v>
                </c:pt>
                <c:pt idx="6">
                  <c:v>2019 - Q3</c:v>
                </c:pt>
                <c:pt idx="7">
                  <c:v>2019 - Q4</c:v>
                </c:pt>
                <c:pt idx="8">
                  <c:v>2020 - Q1</c:v>
                </c:pt>
                <c:pt idx="9">
                  <c:v>2020 - Q2</c:v>
                </c:pt>
                <c:pt idx="10">
                  <c:v>2020 - Q3</c:v>
                </c:pt>
                <c:pt idx="11">
                  <c:v>2020 - Q4</c:v>
                </c:pt>
                <c:pt idx="12">
                  <c:v>2021 - Q1</c:v>
                </c:pt>
                <c:pt idx="13">
                  <c:v>2021 - Q2</c:v>
                </c:pt>
                <c:pt idx="14">
                  <c:v>2021 - Q3</c:v>
                </c:pt>
                <c:pt idx="15">
                  <c:v>2021 - Q4</c:v>
                </c:pt>
                <c:pt idx="16">
                  <c:v>2022 - Q1</c:v>
                </c:pt>
                <c:pt idx="17">
                  <c:v>2022 - Q2</c:v>
                </c:pt>
                <c:pt idx="18">
                  <c:v>2022 - Q3</c:v>
                </c:pt>
                <c:pt idx="19">
                  <c:v>2022 - Q4</c:v>
                </c:pt>
                <c:pt idx="20">
                  <c:v>2023 - Q1</c:v>
                </c:pt>
                <c:pt idx="21">
                  <c:v>2023 - Q2</c:v>
                </c:pt>
                <c:pt idx="22">
                  <c:v>2023 - Q3</c:v>
                </c:pt>
                <c:pt idx="23">
                  <c:v>2023 - Q4</c:v>
                </c:pt>
                <c:pt idx="24">
                  <c:v>2024 - Q1</c:v>
                </c:pt>
                <c:pt idx="25">
                  <c:v>2024 - Q2</c:v>
                </c:pt>
                <c:pt idx="26">
                  <c:v>2024 - Q3</c:v>
                </c:pt>
                <c:pt idx="27">
                  <c:v>2024 - Q4</c:v>
                </c:pt>
                <c:pt idx="28">
                  <c:v>2025 - Q1</c:v>
                </c:pt>
                <c:pt idx="29">
                  <c:v>2025 - Q2</c:v>
                </c:pt>
                <c:pt idx="30">
                  <c:v>2025 - Q3</c:v>
                </c:pt>
                <c:pt idx="31">
                  <c:v>2025 - Q4</c:v>
                </c:pt>
                <c:pt idx="32">
                  <c:v>2026 - Q1</c:v>
                </c:pt>
                <c:pt idx="33">
                  <c:v>2026 - Q2</c:v>
                </c:pt>
                <c:pt idx="34">
                  <c:v>2026 - Q3</c:v>
                </c:pt>
                <c:pt idx="35">
                  <c:v>2026 - Q4</c:v>
                </c:pt>
              </c:strCache>
            </c:strRef>
          </c:cat>
          <c:val>
            <c:numRef>
              <c:f>'A.2 &amp; A.3 Time Series Models'!$C$9:$C$44</c:f>
              <c:numCache>
                <c:formatCode>0.00</c:formatCode>
                <c:ptCount val="36"/>
                <c:pt idx="0">
                  <c:v>365.6</c:v>
                </c:pt>
                <c:pt idx="1">
                  <c:v>412.5</c:v>
                </c:pt>
                <c:pt idx="2">
                  <c:v>349</c:v>
                </c:pt>
                <c:pt idx="3">
                  <c:v>271.10000000000002</c:v>
                </c:pt>
                <c:pt idx="4">
                  <c:v>231.5</c:v>
                </c:pt>
                <c:pt idx="5">
                  <c:v>294.39999999999998</c:v>
                </c:pt>
                <c:pt idx="6">
                  <c:v>233.1</c:v>
                </c:pt>
                <c:pt idx="7">
                  <c:v>146.4</c:v>
                </c:pt>
                <c:pt idx="8">
                  <c:v>122.20000000000002</c:v>
                </c:pt>
                <c:pt idx="9">
                  <c:v>158.6</c:v>
                </c:pt>
                <c:pt idx="10">
                  <c:v>163</c:v>
                </c:pt>
                <c:pt idx="11">
                  <c:v>139.19999999999999</c:v>
                </c:pt>
                <c:pt idx="12">
                  <c:v>149.79999999999998</c:v>
                </c:pt>
                <c:pt idx="13">
                  <c:v>169.2</c:v>
                </c:pt>
                <c:pt idx="14">
                  <c:v>153.80000000000001</c:v>
                </c:pt>
                <c:pt idx="15">
                  <c:v>132</c:v>
                </c:pt>
                <c:pt idx="16">
                  <c:v>128.4</c:v>
                </c:pt>
                <c:pt idx="17">
                  <c:v>171.8</c:v>
                </c:pt>
                <c:pt idx="18">
                  <c:v>168.4</c:v>
                </c:pt>
                <c:pt idx="19">
                  <c:v>155.5</c:v>
                </c:pt>
                <c:pt idx="20">
                  <c:v>170.8</c:v>
                </c:pt>
                <c:pt idx="21">
                  <c:v>217.70000000000002</c:v>
                </c:pt>
                <c:pt idx="22">
                  <c:v>227.8</c:v>
                </c:pt>
                <c:pt idx="23">
                  <c:v>213.39999999999998</c:v>
                </c:pt>
                <c:pt idx="24">
                  <c:v>211</c:v>
                </c:pt>
                <c:pt idx="25">
                  <c:v>275.7</c:v>
                </c:pt>
                <c:pt idx="26">
                  <c:v>260.39999999999998</c:v>
                </c:pt>
                <c:pt idx="27">
                  <c:v>243.8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1B-4F3B-9EFE-52FA18730848}"/>
            </c:ext>
          </c:extLst>
        </c:ser>
        <c:ser>
          <c:idx val="1"/>
          <c:order val="1"/>
          <c:tx>
            <c:strRef>
              <c:f>'A.2 &amp; A.3 Time Series Models'!$D$8</c:f>
              <c:strCache>
                <c:ptCount val="1"/>
                <c:pt idx="0">
                  <c:v>In-Sample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'A.2 &amp; A.3 Time Series Models'!$B$9:$B$44</c:f>
              <c:strCache>
                <c:ptCount val="36"/>
                <c:pt idx="0">
                  <c:v>2018 - Q1</c:v>
                </c:pt>
                <c:pt idx="1">
                  <c:v>2018 - Q2</c:v>
                </c:pt>
                <c:pt idx="2">
                  <c:v>2018 - Q3</c:v>
                </c:pt>
                <c:pt idx="3">
                  <c:v>2018 - Q4</c:v>
                </c:pt>
                <c:pt idx="4">
                  <c:v>2019 - Q1</c:v>
                </c:pt>
                <c:pt idx="5">
                  <c:v>2019 - Q2</c:v>
                </c:pt>
                <c:pt idx="6">
                  <c:v>2019 - Q3</c:v>
                </c:pt>
                <c:pt idx="7">
                  <c:v>2019 - Q4</c:v>
                </c:pt>
                <c:pt idx="8">
                  <c:v>2020 - Q1</c:v>
                </c:pt>
                <c:pt idx="9">
                  <c:v>2020 - Q2</c:v>
                </c:pt>
                <c:pt idx="10">
                  <c:v>2020 - Q3</c:v>
                </c:pt>
                <c:pt idx="11">
                  <c:v>2020 - Q4</c:v>
                </c:pt>
                <c:pt idx="12">
                  <c:v>2021 - Q1</c:v>
                </c:pt>
                <c:pt idx="13">
                  <c:v>2021 - Q2</c:v>
                </c:pt>
                <c:pt idx="14">
                  <c:v>2021 - Q3</c:v>
                </c:pt>
                <c:pt idx="15">
                  <c:v>2021 - Q4</c:v>
                </c:pt>
                <c:pt idx="16">
                  <c:v>2022 - Q1</c:v>
                </c:pt>
                <c:pt idx="17">
                  <c:v>2022 - Q2</c:v>
                </c:pt>
                <c:pt idx="18">
                  <c:v>2022 - Q3</c:v>
                </c:pt>
                <c:pt idx="19">
                  <c:v>2022 - Q4</c:v>
                </c:pt>
                <c:pt idx="20">
                  <c:v>2023 - Q1</c:v>
                </c:pt>
                <c:pt idx="21">
                  <c:v>2023 - Q2</c:v>
                </c:pt>
                <c:pt idx="22">
                  <c:v>2023 - Q3</c:v>
                </c:pt>
                <c:pt idx="23">
                  <c:v>2023 - Q4</c:v>
                </c:pt>
                <c:pt idx="24">
                  <c:v>2024 - Q1</c:v>
                </c:pt>
                <c:pt idx="25">
                  <c:v>2024 - Q2</c:v>
                </c:pt>
                <c:pt idx="26">
                  <c:v>2024 - Q3</c:v>
                </c:pt>
                <c:pt idx="27">
                  <c:v>2024 - Q4</c:v>
                </c:pt>
                <c:pt idx="28">
                  <c:v>2025 - Q1</c:v>
                </c:pt>
                <c:pt idx="29">
                  <c:v>2025 - Q2</c:v>
                </c:pt>
                <c:pt idx="30">
                  <c:v>2025 - Q3</c:v>
                </c:pt>
                <c:pt idx="31">
                  <c:v>2025 - Q4</c:v>
                </c:pt>
                <c:pt idx="32">
                  <c:v>2026 - Q1</c:v>
                </c:pt>
                <c:pt idx="33">
                  <c:v>2026 - Q2</c:v>
                </c:pt>
                <c:pt idx="34">
                  <c:v>2026 - Q3</c:v>
                </c:pt>
                <c:pt idx="35">
                  <c:v>2026 - Q4</c:v>
                </c:pt>
              </c:strCache>
            </c:strRef>
          </c:cat>
          <c:val>
            <c:numRef>
              <c:f>'A.2 &amp; A.3 Time Series Models'!$D$9:$D$44</c:f>
              <c:numCache>
                <c:formatCode>General</c:formatCode>
                <c:ptCount val="36"/>
                <c:pt idx="0">
                  <c:v>365.6</c:v>
                </c:pt>
                <c:pt idx="1">
                  <c:v>412.5</c:v>
                </c:pt>
                <c:pt idx="2">
                  <c:v>349</c:v>
                </c:pt>
                <c:pt idx="3">
                  <c:v>271.10000000000002</c:v>
                </c:pt>
                <c:pt idx="4">
                  <c:v>231.5</c:v>
                </c:pt>
                <c:pt idx="5">
                  <c:v>294.39999999999998</c:v>
                </c:pt>
                <c:pt idx="6">
                  <c:v>233.1</c:v>
                </c:pt>
                <c:pt idx="7">
                  <c:v>146.4</c:v>
                </c:pt>
                <c:pt idx="8">
                  <c:v>122.20000000000002</c:v>
                </c:pt>
                <c:pt idx="9">
                  <c:v>158.6</c:v>
                </c:pt>
                <c:pt idx="10">
                  <c:v>163</c:v>
                </c:pt>
                <c:pt idx="11">
                  <c:v>139.19999999999999</c:v>
                </c:pt>
                <c:pt idx="12">
                  <c:v>149.79999999999998</c:v>
                </c:pt>
                <c:pt idx="13">
                  <c:v>169.2</c:v>
                </c:pt>
                <c:pt idx="14">
                  <c:v>153.80000000000001</c:v>
                </c:pt>
                <c:pt idx="15">
                  <c:v>132</c:v>
                </c:pt>
                <c:pt idx="16">
                  <c:v>128.4</c:v>
                </c:pt>
                <c:pt idx="17">
                  <c:v>171.8</c:v>
                </c:pt>
                <c:pt idx="18">
                  <c:v>168.4</c:v>
                </c:pt>
                <c:pt idx="19">
                  <c:v>155.5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1B-4F3B-9EFE-52FA18730848}"/>
            </c:ext>
          </c:extLst>
        </c:ser>
        <c:ser>
          <c:idx val="2"/>
          <c:order val="2"/>
          <c:tx>
            <c:strRef>
              <c:f>'A.2 &amp; A.3 Time Series Models'!$E$8</c:f>
              <c:strCache>
                <c:ptCount val="1"/>
                <c:pt idx="0">
                  <c:v>Out-of-Sample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'A.2 &amp; A.3 Time Series Models'!$B$9:$B$44</c:f>
              <c:strCache>
                <c:ptCount val="36"/>
                <c:pt idx="0">
                  <c:v>2018 - Q1</c:v>
                </c:pt>
                <c:pt idx="1">
                  <c:v>2018 - Q2</c:v>
                </c:pt>
                <c:pt idx="2">
                  <c:v>2018 - Q3</c:v>
                </c:pt>
                <c:pt idx="3">
                  <c:v>2018 - Q4</c:v>
                </c:pt>
                <c:pt idx="4">
                  <c:v>2019 - Q1</c:v>
                </c:pt>
                <c:pt idx="5">
                  <c:v>2019 - Q2</c:v>
                </c:pt>
                <c:pt idx="6">
                  <c:v>2019 - Q3</c:v>
                </c:pt>
                <c:pt idx="7">
                  <c:v>2019 - Q4</c:v>
                </c:pt>
                <c:pt idx="8">
                  <c:v>2020 - Q1</c:v>
                </c:pt>
                <c:pt idx="9">
                  <c:v>2020 - Q2</c:v>
                </c:pt>
                <c:pt idx="10">
                  <c:v>2020 - Q3</c:v>
                </c:pt>
                <c:pt idx="11">
                  <c:v>2020 - Q4</c:v>
                </c:pt>
                <c:pt idx="12">
                  <c:v>2021 - Q1</c:v>
                </c:pt>
                <c:pt idx="13">
                  <c:v>2021 - Q2</c:v>
                </c:pt>
                <c:pt idx="14">
                  <c:v>2021 - Q3</c:v>
                </c:pt>
                <c:pt idx="15">
                  <c:v>2021 - Q4</c:v>
                </c:pt>
                <c:pt idx="16">
                  <c:v>2022 - Q1</c:v>
                </c:pt>
                <c:pt idx="17">
                  <c:v>2022 - Q2</c:v>
                </c:pt>
                <c:pt idx="18">
                  <c:v>2022 - Q3</c:v>
                </c:pt>
                <c:pt idx="19">
                  <c:v>2022 - Q4</c:v>
                </c:pt>
                <c:pt idx="20">
                  <c:v>2023 - Q1</c:v>
                </c:pt>
                <c:pt idx="21">
                  <c:v>2023 - Q2</c:v>
                </c:pt>
                <c:pt idx="22">
                  <c:v>2023 - Q3</c:v>
                </c:pt>
                <c:pt idx="23">
                  <c:v>2023 - Q4</c:v>
                </c:pt>
                <c:pt idx="24">
                  <c:v>2024 - Q1</c:v>
                </c:pt>
                <c:pt idx="25">
                  <c:v>2024 - Q2</c:v>
                </c:pt>
                <c:pt idx="26">
                  <c:v>2024 - Q3</c:v>
                </c:pt>
                <c:pt idx="27">
                  <c:v>2024 - Q4</c:v>
                </c:pt>
                <c:pt idx="28">
                  <c:v>2025 - Q1</c:v>
                </c:pt>
                <c:pt idx="29">
                  <c:v>2025 - Q2</c:v>
                </c:pt>
                <c:pt idx="30">
                  <c:v>2025 - Q3</c:v>
                </c:pt>
                <c:pt idx="31">
                  <c:v>2025 - Q4</c:v>
                </c:pt>
                <c:pt idx="32">
                  <c:v>2026 - Q1</c:v>
                </c:pt>
                <c:pt idx="33">
                  <c:v>2026 - Q2</c:v>
                </c:pt>
                <c:pt idx="34">
                  <c:v>2026 - Q3</c:v>
                </c:pt>
                <c:pt idx="35">
                  <c:v>2026 - Q4</c:v>
                </c:pt>
              </c:strCache>
            </c:strRef>
          </c:cat>
          <c:val>
            <c:numRef>
              <c:f>'A.2 &amp; A.3 Time Series Models'!$E$9:$E$44</c:f>
              <c:numCache>
                <c:formatCode>General</c:formatCode>
                <c:ptCount val="36"/>
                <c:pt idx="19" formatCode="0.0">
                  <c:v>155.5</c:v>
                </c:pt>
                <c:pt idx="20" formatCode="0.0">
                  <c:v>170.8</c:v>
                </c:pt>
                <c:pt idx="21" formatCode="0.0">
                  <c:v>217.70000000000002</c:v>
                </c:pt>
                <c:pt idx="22" formatCode="0.0">
                  <c:v>227.8</c:v>
                </c:pt>
                <c:pt idx="23" formatCode="0.0">
                  <c:v>213.39999999999998</c:v>
                </c:pt>
                <c:pt idx="24" formatCode="0.0">
                  <c:v>211</c:v>
                </c:pt>
                <c:pt idx="25" formatCode="0.0">
                  <c:v>275.7</c:v>
                </c:pt>
                <c:pt idx="26" formatCode="0.0">
                  <c:v>260.39999999999998</c:v>
                </c:pt>
                <c:pt idx="27" formatCode="0.0">
                  <c:v>243.8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1B-4F3B-9EFE-52FA18730848}"/>
            </c:ext>
          </c:extLst>
        </c:ser>
        <c:ser>
          <c:idx val="3"/>
          <c:order val="3"/>
          <c:tx>
            <c:strRef>
              <c:f>'A.2 &amp; A.3 Time Series Models'!$F$8</c:f>
              <c:strCache>
                <c:ptCount val="1"/>
                <c:pt idx="0">
                  <c:v>MAV  Training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'A.2 &amp; A.3 Time Series Models'!$B$9:$B$44</c:f>
              <c:strCache>
                <c:ptCount val="36"/>
                <c:pt idx="0">
                  <c:v>2018 - Q1</c:v>
                </c:pt>
                <c:pt idx="1">
                  <c:v>2018 - Q2</c:v>
                </c:pt>
                <c:pt idx="2">
                  <c:v>2018 - Q3</c:v>
                </c:pt>
                <c:pt idx="3">
                  <c:v>2018 - Q4</c:v>
                </c:pt>
                <c:pt idx="4">
                  <c:v>2019 - Q1</c:v>
                </c:pt>
                <c:pt idx="5">
                  <c:v>2019 - Q2</c:v>
                </c:pt>
                <c:pt idx="6">
                  <c:v>2019 - Q3</c:v>
                </c:pt>
                <c:pt idx="7">
                  <c:v>2019 - Q4</c:v>
                </c:pt>
                <c:pt idx="8">
                  <c:v>2020 - Q1</c:v>
                </c:pt>
                <c:pt idx="9">
                  <c:v>2020 - Q2</c:v>
                </c:pt>
                <c:pt idx="10">
                  <c:v>2020 - Q3</c:v>
                </c:pt>
                <c:pt idx="11">
                  <c:v>2020 - Q4</c:v>
                </c:pt>
                <c:pt idx="12">
                  <c:v>2021 - Q1</c:v>
                </c:pt>
                <c:pt idx="13">
                  <c:v>2021 - Q2</c:v>
                </c:pt>
                <c:pt idx="14">
                  <c:v>2021 - Q3</c:v>
                </c:pt>
                <c:pt idx="15">
                  <c:v>2021 - Q4</c:v>
                </c:pt>
                <c:pt idx="16">
                  <c:v>2022 - Q1</c:v>
                </c:pt>
                <c:pt idx="17">
                  <c:v>2022 - Q2</c:v>
                </c:pt>
                <c:pt idx="18">
                  <c:v>2022 - Q3</c:v>
                </c:pt>
                <c:pt idx="19">
                  <c:v>2022 - Q4</c:v>
                </c:pt>
                <c:pt idx="20">
                  <c:v>2023 - Q1</c:v>
                </c:pt>
                <c:pt idx="21">
                  <c:v>2023 - Q2</c:v>
                </c:pt>
                <c:pt idx="22">
                  <c:v>2023 - Q3</c:v>
                </c:pt>
                <c:pt idx="23">
                  <c:v>2023 - Q4</c:v>
                </c:pt>
                <c:pt idx="24">
                  <c:v>2024 - Q1</c:v>
                </c:pt>
                <c:pt idx="25">
                  <c:v>2024 - Q2</c:v>
                </c:pt>
                <c:pt idx="26">
                  <c:v>2024 - Q3</c:v>
                </c:pt>
                <c:pt idx="27">
                  <c:v>2024 - Q4</c:v>
                </c:pt>
                <c:pt idx="28">
                  <c:v>2025 - Q1</c:v>
                </c:pt>
                <c:pt idx="29">
                  <c:v>2025 - Q2</c:v>
                </c:pt>
                <c:pt idx="30">
                  <c:v>2025 - Q3</c:v>
                </c:pt>
                <c:pt idx="31">
                  <c:v>2025 - Q4</c:v>
                </c:pt>
                <c:pt idx="32">
                  <c:v>2026 - Q1</c:v>
                </c:pt>
                <c:pt idx="33">
                  <c:v>2026 - Q2</c:v>
                </c:pt>
                <c:pt idx="34">
                  <c:v>2026 - Q3</c:v>
                </c:pt>
                <c:pt idx="35">
                  <c:v>2026 - Q4</c:v>
                </c:pt>
              </c:strCache>
            </c:strRef>
          </c:cat>
          <c:val>
            <c:numRef>
              <c:f>'A.2 &amp; A.3 Time Series Models'!$F$9:$F$44</c:f>
              <c:numCache>
                <c:formatCode>General</c:formatCode>
                <c:ptCount val="36"/>
                <c:pt idx="4" formatCode="0">
                  <c:v>349.54999999999995</c:v>
                </c:pt>
                <c:pt idx="5" formatCode="0">
                  <c:v>316.02499999999998</c:v>
                </c:pt>
                <c:pt idx="6" formatCode="0">
                  <c:v>286.5</c:v>
                </c:pt>
                <c:pt idx="7" formatCode="0">
                  <c:v>257.52499999999998</c:v>
                </c:pt>
                <c:pt idx="8" formatCode="0">
                  <c:v>226.35</c:v>
                </c:pt>
                <c:pt idx="9" formatCode="0">
                  <c:v>199.02500000000001</c:v>
                </c:pt>
                <c:pt idx="10" formatCode="0">
                  <c:v>165.07500000000002</c:v>
                </c:pt>
                <c:pt idx="11" formatCode="0">
                  <c:v>147.55000000000001</c:v>
                </c:pt>
                <c:pt idx="12" formatCode="0">
                  <c:v>145.75</c:v>
                </c:pt>
                <c:pt idx="13" formatCode="0">
                  <c:v>152.65</c:v>
                </c:pt>
                <c:pt idx="14" formatCode="0">
                  <c:v>155.30000000000001</c:v>
                </c:pt>
                <c:pt idx="15" formatCode="0">
                  <c:v>153</c:v>
                </c:pt>
                <c:pt idx="16" formatCode="0">
                  <c:v>151.19999999999999</c:v>
                </c:pt>
                <c:pt idx="17" formatCode="0">
                  <c:v>145.85</c:v>
                </c:pt>
                <c:pt idx="18" formatCode="0">
                  <c:v>146.5</c:v>
                </c:pt>
                <c:pt idx="19" formatCode="0">
                  <c:v>150.15</c:v>
                </c:pt>
                <c:pt idx="20" formatCode="0">
                  <c:v>156.02500000000001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1B-4F3B-9EFE-52FA18730848}"/>
            </c:ext>
          </c:extLst>
        </c:ser>
        <c:ser>
          <c:idx val="4"/>
          <c:order val="4"/>
          <c:tx>
            <c:strRef>
              <c:f>'A.2 &amp; A.3 Time Series Models'!$G$8</c:f>
              <c:strCache>
                <c:ptCount val="1"/>
                <c:pt idx="0">
                  <c:v>MAV
Forecast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'A.2 &amp; A.3 Time Series Models'!$B$9:$B$44</c:f>
              <c:strCache>
                <c:ptCount val="36"/>
                <c:pt idx="0">
                  <c:v>2018 - Q1</c:v>
                </c:pt>
                <c:pt idx="1">
                  <c:v>2018 - Q2</c:v>
                </c:pt>
                <c:pt idx="2">
                  <c:v>2018 - Q3</c:v>
                </c:pt>
                <c:pt idx="3">
                  <c:v>2018 - Q4</c:v>
                </c:pt>
                <c:pt idx="4">
                  <c:v>2019 - Q1</c:v>
                </c:pt>
                <c:pt idx="5">
                  <c:v>2019 - Q2</c:v>
                </c:pt>
                <c:pt idx="6">
                  <c:v>2019 - Q3</c:v>
                </c:pt>
                <c:pt idx="7">
                  <c:v>2019 - Q4</c:v>
                </c:pt>
                <c:pt idx="8">
                  <c:v>2020 - Q1</c:v>
                </c:pt>
                <c:pt idx="9">
                  <c:v>2020 - Q2</c:v>
                </c:pt>
                <c:pt idx="10">
                  <c:v>2020 - Q3</c:v>
                </c:pt>
                <c:pt idx="11">
                  <c:v>2020 - Q4</c:v>
                </c:pt>
                <c:pt idx="12">
                  <c:v>2021 - Q1</c:v>
                </c:pt>
                <c:pt idx="13">
                  <c:v>2021 - Q2</c:v>
                </c:pt>
                <c:pt idx="14">
                  <c:v>2021 - Q3</c:v>
                </c:pt>
                <c:pt idx="15">
                  <c:v>2021 - Q4</c:v>
                </c:pt>
                <c:pt idx="16">
                  <c:v>2022 - Q1</c:v>
                </c:pt>
                <c:pt idx="17">
                  <c:v>2022 - Q2</c:v>
                </c:pt>
                <c:pt idx="18">
                  <c:v>2022 - Q3</c:v>
                </c:pt>
                <c:pt idx="19">
                  <c:v>2022 - Q4</c:v>
                </c:pt>
                <c:pt idx="20">
                  <c:v>2023 - Q1</c:v>
                </c:pt>
                <c:pt idx="21">
                  <c:v>2023 - Q2</c:v>
                </c:pt>
                <c:pt idx="22">
                  <c:v>2023 - Q3</c:v>
                </c:pt>
                <c:pt idx="23">
                  <c:v>2023 - Q4</c:v>
                </c:pt>
                <c:pt idx="24">
                  <c:v>2024 - Q1</c:v>
                </c:pt>
                <c:pt idx="25">
                  <c:v>2024 - Q2</c:v>
                </c:pt>
                <c:pt idx="26">
                  <c:v>2024 - Q3</c:v>
                </c:pt>
                <c:pt idx="27">
                  <c:v>2024 - Q4</c:v>
                </c:pt>
                <c:pt idx="28">
                  <c:v>2025 - Q1</c:v>
                </c:pt>
                <c:pt idx="29">
                  <c:v>2025 - Q2</c:v>
                </c:pt>
                <c:pt idx="30">
                  <c:v>2025 - Q3</c:v>
                </c:pt>
                <c:pt idx="31">
                  <c:v>2025 - Q4</c:v>
                </c:pt>
                <c:pt idx="32">
                  <c:v>2026 - Q1</c:v>
                </c:pt>
                <c:pt idx="33">
                  <c:v>2026 - Q2</c:v>
                </c:pt>
                <c:pt idx="34">
                  <c:v>2026 - Q3</c:v>
                </c:pt>
                <c:pt idx="35">
                  <c:v>2026 - Q4</c:v>
                </c:pt>
              </c:strCache>
            </c:strRef>
          </c:cat>
          <c:val>
            <c:numRef>
              <c:f>'A.2 &amp; A.3 Time Series Models'!$G$9:$G$44</c:f>
              <c:numCache>
                <c:formatCode>General</c:formatCode>
                <c:ptCount val="36"/>
                <c:pt idx="20" formatCode="0">
                  <c:v>156.02500000000001</c:v>
                </c:pt>
                <c:pt idx="21" formatCode="0">
                  <c:v>156.02500000000001</c:v>
                </c:pt>
                <c:pt idx="22" formatCode="0">
                  <c:v>156.02500000000001</c:v>
                </c:pt>
                <c:pt idx="23" formatCode="0">
                  <c:v>156.02500000000001</c:v>
                </c:pt>
                <c:pt idx="24" formatCode="0">
                  <c:v>156.02500000000001</c:v>
                </c:pt>
                <c:pt idx="25" formatCode="0">
                  <c:v>156.02500000000001</c:v>
                </c:pt>
                <c:pt idx="26" formatCode="0">
                  <c:v>156.02500000000001</c:v>
                </c:pt>
                <c:pt idx="27" formatCode="0">
                  <c:v>156.02500000000001</c:v>
                </c:pt>
                <c:pt idx="28" formatCode="0">
                  <c:v>156.02500000000001</c:v>
                </c:pt>
                <c:pt idx="29" formatCode="0">
                  <c:v>156.02500000000001</c:v>
                </c:pt>
                <c:pt idx="30" formatCode="0">
                  <c:v>156.02500000000001</c:v>
                </c:pt>
                <c:pt idx="31" formatCode="0">
                  <c:v>156.02500000000001</c:v>
                </c:pt>
                <c:pt idx="32" formatCode="0">
                  <c:v>156.02500000000001</c:v>
                </c:pt>
                <c:pt idx="33" formatCode="0">
                  <c:v>156.02500000000001</c:v>
                </c:pt>
                <c:pt idx="34" formatCode="0">
                  <c:v>156.02500000000001</c:v>
                </c:pt>
                <c:pt idx="35" formatCode="0">
                  <c:v>156.02500000000001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1B-4F3B-9EFE-52FA18730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083104"/>
        <c:axId val="1186980879"/>
      </c:lineChart>
      <c:catAx>
        <c:axId val="141308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980879"/>
        <c:crosses val="autoZero"/>
        <c:auto val="1"/>
        <c:lblAlgn val="ctr"/>
        <c:lblOffset val="100"/>
        <c:noMultiLvlLbl val="0"/>
      </c:catAx>
      <c:valAx>
        <c:axId val="118698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08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T-Shirt's(000's) Sales - SES Forecasting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'A.2 &amp; A.3 Time Series Models'!$C$8</c:f>
              <c:strCache>
                <c:ptCount val="1"/>
                <c:pt idx="0">
                  <c:v>T-Shirts (000's)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'A.2 &amp; A.3 Time Series Models'!$B$8:$B$44</c:f>
              <c:strCache>
                <c:ptCount val="37"/>
                <c:pt idx="0">
                  <c:v>Year</c:v>
                </c:pt>
                <c:pt idx="1">
                  <c:v>2018 - Q1</c:v>
                </c:pt>
                <c:pt idx="2">
                  <c:v>2018 - Q2</c:v>
                </c:pt>
                <c:pt idx="3">
                  <c:v>2018 - Q3</c:v>
                </c:pt>
                <c:pt idx="4">
                  <c:v>2018 - Q4</c:v>
                </c:pt>
                <c:pt idx="5">
                  <c:v>2019 - Q1</c:v>
                </c:pt>
                <c:pt idx="6">
                  <c:v>2019 - Q2</c:v>
                </c:pt>
                <c:pt idx="7">
                  <c:v>2019 - Q3</c:v>
                </c:pt>
                <c:pt idx="8">
                  <c:v>2019 - Q4</c:v>
                </c:pt>
                <c:pt idx="9">
                  <c:v>2020 - Q1</c:v>
                </c:pt>
                <c:pt idx="10">
                  <c:v>2020 - Q2</c:v>
                </c:pt>
                <c:pt idx="11">
                  <c:v>2020 - Q3</c:v>
                </c:pt>
                <c:pt idx="12">
                  <c:v>2020 - Q4</c:v>
                </c:pt>
                <c:pt idx="13">
                  <c:v>2021 - Q1</c:v>
                </c:pt>
                <c:pt idx="14">
                  <c:v>2021 - Q2</c:v>
                </c:pt>
                <c:pt idx="15">
                  <c:v>2021 - Q3</c:v>
                </c:pt>
                <c:pt idx="16">
                  <c:v>2021 - Q4</c:v>
                </c:pt>
                <c:pt idx="17">
                  <c:v>2022 - Q1</c:v>
                </c:pt>
                <c:pt idx="18">
                  <c:v>2022 - Q2</c:v>
                </c:pt>
                <c:pt idx="19">
                  <c:v>2022 - Q3</c:v>
                </c:pt>
                <c:pt idx="20">
                  <c:v>2022 - Q4</c:v>
                </c:pt>
                <c:pt idx="21">
                  <c:v>2023 - Q1</c:v>
                </c:pt>
                <c:pt idx="22">
                  <c:v>2023 - Q2</c:v>
                </c:pt>
                <c:pt idx="23">
                  <c:v>2023 - Q3</c:v>
                </c:pt>
                <c:pt idx="24">
                  <c:v>2023 - Q4</c:v>
                </c:pt>
                <c:pt idx="25">
                  <c:v>2024 - Q1</c:v>
                </c:pt>
                <c:pt idx="26">
                  <c:v>2024 - Q2</c:v>
                </c:pt>
                <c:pt idx="27">
                  <c:v>2024 - Q3</c:v>
                </c:pt>
                <c:pt idx="28">
                  <c:v>2024 - Q4</c:v>
                </c:pt>
                <c:pt idx="29">
                  <c:v>2025 - Q1</c:v>
                </c:pt>
                <c:pt idx="30">
                  <c:v>2025 - Q2</c:v>
                </c:pt>
                <c:pt idx="31">
                  <c:v>2025 - Q3</c:v>
                </c:pt>
                <c:pt idx="32">
                  <c:v>2025 - Q4</c:v>
                </c:pt>
                <c:pt idx="33">
                  <c:v>2026 - Q1</c:v>
                </c:pt>
                <c:pt idx="34">
                  <c:v>2026 - Q2</c:v>
                </c:pt>
                <c:pt idx="35">
                  <c:v>2026 - Q3</c:v>
                </c:pt>
                <c:pt idx="36">
                  <c:v>2026 - Q4</c:v>
                </c:pt>
              </c:strCache>
            </c:strRef>
          </c:cat>
          <c:val>
            <c:numRef>
              <c:f>'A.2 &amp; A.3 Time Series Models'!$C$9:$C$44</c:f>
              <c:numCache>
                <c:formatCode>0.00</c:formatCode>
                <c:ptCount val="36"/>
                <c:pt idx="0">
                  <c:v>365.6</c:v>
                </c:pt>
                <c:pt idx="1">
                  <c:v>412.5</c:v>
                </c:pt>
                <c:pt idx="2">
                  <c:v>349</c:v>
                </c:pt>
                <c:pt idx="3">
                  <c:v>271.10000000000002</c:v>
                </c:pt>
                <c:pt idx="4">
                  <c:v>231.5</c:v>
                </c:pt>
                <c:pt idx="5">
                  <c:v>294.39999999999998</c:v>
                </c:pt>
                <c:pt idx="6">
                  <c:v>233.1</c:v>
                </c:pt>
                <c:pt idx="7">
                  <c:v>146.4</c:v>
                </c:pt>
                <c:pt idx="8">
                  <c:v>122.20000000000002</c:v>
                </c:pt>
                <c:pt idx="9">
                  <c:v>158.6</c:v>
                </c:pt>
                <c:pt idx="10">
                  <c:v>163</c:v>
                </c:pt>
                <c:pt idx="11">
                  <c:v>139.19999999999999</c:v>
                </c:pt>
                <c:pt idx="12">
                  <c:v>149.79999999999998</c:v>
                </c:pt>
                <c:pt idx="13">
                  <c:v>169.2</c:v>
                </c:pt>
                <c:pt idx="14">
                  <c:v>153.80000000000001</c:v>
                </c:pt>
                <c:pt idx="15">
                  <c:v>132</c:v>
                </c:pt>
                <c:pt idx="16">
                  <c:v>128.4</c:v>
                </c:pt>
                <c:pt idx="17">
                  <c:v>171.8</c:v>
                </c:pt>
                <c:pt idx="18">
                  <c:v>168.4</c:v>
                </c:pt>
                <c:pt idx="19">
                  <c:v>155.5</c:v>
                </c:pt>
                <c:pt idx="20">
                  <c:v>170.8</c:v>
                </c:pt>
                <c:pt idx="21">
                  <c:v>217.70000000000002</c:v>
                </c:pt>
                <c:pt idx="22">
                  <c:v>227.8</c:v>
                </c:pt>
                <c:pt idx="23">
                  <c:v>213.39999999999998</c:v>
                </c:pt>
                <c:pt idx="24">
                  <c:v>211</c:v>
                </c:pt>
                <c:pt idx="25">
                  <c:v>275.7</c:v>
                </c:pt>
                <c:pt idx="26">
                  <c:v>260.39999999999998</c:v>
                </c:pt>
                <c:pt idx="27">
                  <c:v>243.8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71-4953-915A-371CD145A933}"/>
            </c:ext>
          </c:extLst>
        </c:ser>
        <c:ser>
          <c:idx val="1"/>
          <c:order val="1"/>
          <c:tx>
            <c:strRef>
              <c:f>'A.2 &amp; A.3 Time Series Models'!$D$8</c:f>
              <c:strCache>
                <c:ptCount val="1"/>
                <c:pt idx="0">
                  <c:v>In-Sample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'A.2 &amp; A.3 Time Series Models'!$B$8:$B$44</c:f>
              <c:strCache>
                <c:ptCount val="37"/>
                <c:pt idx="0">
                  <c:v>Year</c:v>
                </c:pt>
                <c:pt idx="1">
                  <c:v>2018 - Q1</c:v>
                </c:pt>
                <c:pt idx="2">
                  <c:v>2018 - Q2</c:v>
                </c:pt>
                <c:pt idx="3">
                  <c:v>2018 - Q3</c:v>
                </c:pt>
                <c:pt idx="4">
                  <c:v>2018 - Q4</c:v>
                </c:pt>
                <c:pt idx="5">
                  <c:v>2019 - Q1</c:v>
                </c:pt>
                <c:pt idx="6">
                  <c:v>2019 - Q2</c:v>
                </c:pt>
                <c:pt idx="7">
                  <c:v>2019 - Q3</c:v>
                </c:pt>
                <c:pt idx="8">
                  <c:v>2019 - Q4</c:v>
                </c:pt>
                <c:pt idx="9">
                  <c:v>2020 - Q1</c:v>
                </c:pt>
                <c:pt idx="10">
                  <c:v>2020 - Q2</c:v>
                </c:pt>
                <c:pt idx="11">
                  <c:v>2020 - Q3</c:v>
                </c:pt>
                <c:pt idx="12">
                  <c:v>2020 - Q4</c:v>
                </c:pt>
                <c:pt idx="13">
                  <c:v>2021 - Q1</c:v>
                </c:pt>
                <c:pt idx="14">
                  <c:v>2021 - Q2</c:v>
                </c:pt>
                <c:pt idx="15">
                  <c:v>2021 - Q3</c:v>
                </c:pt>
                <c:pt idx="16">
                  <c:v>2021 - Q4</c:v>
                </c:pt>
                <c:pt idx="17">
                  <c:v>2022 - Q1</c:v>
                </c:pt>
                <c:pt idx="18">
                  <c:v>2022 - Q2</c:v>
                </c:pt>
                <c:pt idx="19">
                  <c:v>2022 - Q3</c:v>
                </c:pt>
                <c:pt idx="20">
                  <c:v>2022 - Q4</c:v>
                </c:pt>
                <c:pt idx="21">
                  <c:v>2023 - Q1</c:v>
                </c:pt>
                <c:pt idx="22">
                  <c:v>2023 - Q2</c:v>
                </c:pt>
                <c:pt idx="23">
                  <c:v>2023 - Q3</c:v>
                </c:pt>
                <c:pt idx="24">
                  <c:v>2023 - Q4</c:v>
                </c:pt>
                <c:pt idx="25">
                  <c:v>2024 - Q1</c:v>
                </c:pt>
                <c:pt idx="26">
                  <c:v>2024 - Q2</c:v>
                </c:pt>
                <c:pt idx="27">
                  <c:v>2024 - Q3</c:v>
                </c:pt>
                <c:pt idx="28">
                  <c:v>2024 - Q4</c:v>
                </c:pt>
                <c:pt idx="29">
                  <c:v>2025 - Q1</c:v>
                </c:pt>
                <c:pt idx="30">
                  <c:v>2025 - Q2</c:v>
                </c:pt>
                <c:pt idx="31">
                  <c:v>2025 - Q3</c:v>
                </c:pt>
                <c:pt idx="32">
                  <c:v>2025 - Q4</c:v>
                </c:pt>
                <c:pt idx="33">
                  <c:v>2026 - Q1</c:v>
                </c:pt>
                <c:pt idx="34">
                  <c:v>2026 - Q2</c:v>
                </c:pt>
                <c:pt idx="35">
                  <c:v>2026 - Q3</c:v>
                </c:pt>
                <c:pt idx="36">
                  <c:v>2026 - Q4</c:v>
                </c:pt>
              </c:strCache>
            </c:strRef>
          </c:cat>
          <c:val>
            <c:numRef>
              <c:f>'A.2 &amp; A.3 Time Series Models'!$D$9:$D$44</c:f>
              <c:numCache>
                <c:formatCode>General</c:formatCode>
                <c:ptCount val="36"/>
                <c:pt idx="0">
                  <c:v>365.6</c:v>
                </c:pt>
                <c:pt idx="1">
                  <c:v>412.5</c:v>
                </c:pt>
                <c:pt idx="2">
                  <c:v>349</c:v>
                </c:pt>
                <c:pt idx="3">
                  <c:v>271.10000000000002</c:v>
                </c:pt>
                <c:pt idx="4">
                  <c:v>231.5</c:v>
                </c:pt>
                <c:pt idx="5">
                  <c:v>294.39999999999998</c:v>
                </c:pt>
                <c:pt idx="6">
                  <c:v>233.1</c:v>
                </c:pt>
                <c:pt idx="7">
                  <c:v>146.4</c:v>
                </c:pt>
                <c:pt idx="8">
                  <c:v>122.20000000000002</c:v>
                </c:pt>
                <c:pt idx="9">
                  <c:v>158.6</c:v>
                </c:pt>
                <c:pt idx="10">
                  <c:v>163</c:v>
                </c:pt>
                <c:pt idx="11">
                  <c:v>139.19999999999999</c:v>
                </c:pt>
                <c:pt idx="12">
                  <c:v>149.79999999999998</c:v>
                </c:pt>
                <c:pt idx="13">
                  <c:v>169.2</c:v>
                </c:pt>
                <c:pt idx="14">
                  <c:v>153.80000000000001</c:v>
                </c:pt>
                <c:pt idx="15">
                  <c:v>132</c:v>
                </c:pt>
                <c:pt idx="16">
                  <c:v>128.4</c:v>
                </c:pt>
                <c:pt idx="17">
                  <c:v>171.8</c:v>
                </c:pt>
                <c:pt idx="18">
                  <c:v>168.4</c:v>
                </c:pt>
                <c:pt idx="19">
                  <c:v>155.5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71-4953-915A-371CD145A933}"/>
            </c:ext>
          </c:extLst>
        </c:ser>
        <c:ser>
          <c:idx val="2"/>
          <c:order val="2"/>
          <c:tx>
            <c:strRef>
              <c:f>'A.2 &amp; A.3 Time Series Models'!$E$8</c:f>
              <c:strCache>
                <c:ptCount val="1"/>
                <c:pt idx="0">
                  <c:v>Out-of-Sample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'A.2 &amp; A.3 Time Series Models'!$B$8:$B$44</c:f>
              <c:strCache>
                <c:ptCount val="37"/>
                <c:pt idx="0">
                  <c:v>Year</c:v>
                </c:pt>
                <c:pt idx="1">
                  <c:v>2018 - Q1</c:v>
                </c:pt>
                <c:pt idx="2">
                  <c:v>2018 - Q2</c:v>
                </c:pt>
                <c:pt idx="3">
                  <c:v>2018 - Q3</c:v>
                </c:pt>
                <c:pt idx="4">
                  <c:v>2018 - Q4</c:v>
                </c:pt>
                <c:pt idx="5">
                  <c:v>2019 - Q1</c:v>
                </c:pt>
                <c:pt idx="6">
                  <c:v>2019 - Q2</c:v>
                </c:pt>
                <c:pt idx="7">
                  <c:v>2019 - Q3</c:v>
                </c:pt>
                <c:pt idx="8">
                  <c:v>2019 - Q4</c:v>
                </c:pt>
                <c:pt idx="9">
                  <c:v>2020 - Q1</c:v>
                </c:pt>
                <c:pt idx="10">
                  <c:v>2020 - Q2</c:v>
                </c:pt>
                <c:pt idx="11">
                  <c:v>2020 - Q3</c:v>
                </c:pt>
                <c:pt idx="12">
                  <c:v>2020 - Q4</c:v>
                </c:pt>
                <c:pt idx="13">
                  <c:v>2021 - Q1</c:v>
                </c:pt>
                <c:pt idx="14">
                  <c:v>2021 - Q2</c:v>
                </c:pt>
                <c:pt idx="15">
                  <c:v>2021 - Q3</c:v>
                </c:pt>
                <c:pt idx="16">
                  <c:v>2021 - Q4</c:v>
                </c:pt>
                <c:pt idx="17">
                  <c:v>2022 - Q1</c:v>
                </c:pt>
                <c:pt idx="18">
                  <c:v>2022 - Q2</c:v>
                </c:pt>
                <c:pt idx="19">
                  <c:v>2022 - Q3</c:v>
                </c:pt>
                <c:pt idx="20">
                  <c:v>2022 - Q4</c:v>
                </c:pt>
                <c:pt idx="21">
                  <c:v>2023 - Q1</c:v>
                </c:pt>
                <c:pt idx="22">
                  <c:v>2023 - Q2</c:v>
                </c:pt>
                <c:pt idx="23">
                  <c:v>2023 - Q3</c:v>
                </c:pt>
                <c:pt idx="24">
                  <c:v>2023 - Q4</c:v>
                </c:pt>
                <c:pt idx="25">
                  <c:v>2024 - Q1</c:v>
                </c:pt>
                <c:pt idx="26">
                  <c:v>2024 - Q2</c:v>
                </c:pt>
                <c:pt idx="27">
                  <c:v>2024 - Q3</c:v>
                </c:pt>
                <c:pt idx="28">
                  <c:v>2024 - Q4</c:v>
                </c:pt>
                <c:pt idx="29">
                  <c:v>2025 - Q1</c:v>
                </c:pt>
                <c:pt idx="30">
                  <c:v>2025 - Q2</c:v>
                </c:pt>
                <c:pt idx="31">
                  <c:v>2025 - Q3</c:v>
                </c:pt>
                <c:pt idx="32">
                  <c:v>2025 - Q4</c:v>
                </c:pt>
                <c:pt idx="33">
                  <c:v>2026 - Q1</c:v>
                </c:pt>
                <c:pt idx="34">
                  <c:v>2026 - Q2</c:v>
                </c:pt>
                <c:pt idx="35">
                  <c:v>2026 - Q3</c:v>
                </c:pt>
                <c:pt idx="36">
                  <c:v>2026 - Q4</c:v>
                </c:pt>
              </c:strCache>
            </c:strRef>
          </c:cat>
          <c:val>
            <c:numRef>
              <c:f>'A.2 &amp; A.3 Time Series Models'!$E$9:$E$44</c:f>
              <c:numCache>
                <c:formatCode>General</c:formatCode>
                <c:ptCount val="36"/>
                <c:pt idx="19" formatCode="0.0">
                  <c:v>155.5</c:v>
                </c:pt>
                <c:pt idx="20" formatCode="0.0">
                  <c:v>170.8</c:v>
                </c:pt>
                <c:pt idx="21" formatCode="0.0">
                  <c:v>217.70000000000002</c:v>
                </c:pt>
                <c:pt idx="22" formatCode="0.0">
                  <c:v>227.8</c:v>
                </c:pt>
                <c:pt idx="23" formatCode="0.0">
                  <c:v>213.39999999999998</c:v>
                </c:pt>
                <c:pt idx="24" formatCode="0.0">
                  <c:v>211</c:v>
                </c:pt>
                <c:pt idx="25" formatCode="0.0">
                  <c:v>275.7</c:v>
                </c:pt>
                <c:pt idx="26" formatCode="0.0">
                  <c:v>260.39999999999998</c:v>
                </c:pt>
                <c:pt idx="27" formatCode="0.0">
                  <c:v>243.8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71-4953-915A-371CD145A933}"/>
            </c:ext>
          </c:extLst>
        </c:ser>
        <c:ser>
          <c:idx val="3"/>
          <c:order val="3"/>
          <c:tx>
            <c:strRef>
              <c:f>'A.2 &amp; A.3 Time Series Models'!$I$8</c:f>
              <c:strCache>
                <c:ptCount val="1"/>
                <c:pt idx="0">
                  <c:v>SES Training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'A.2 &amp; A.3 Time Series Models'!$B$8:$B$44</c:f>
              <c:strCache>
                <c:ptCount val="37"/>
                <c:pt idx="0">
                  <c:v>Year</c:v>
                </c:pt>
                <c:pt idx="1">
                  <c:v>2018 - Q1</c:v>
                </c:pt>
                <c:pt idx="2">
                  <c:v>2018 - Q2</c:v>
                </c:pt>
                <c:pt idx="3">
                  <c:v>2018 - Q3</c:v>
                </c:pt>
                <c:pt idx="4">
                  <c:v>2018 - Q4</c:v>
                </c:pt>
                <c:pt idx="5">
                  <c:v>2019 - Q1</c:v>
                </c:pt>
                <c:pt idx="6">
                  <c:v>2019 - Q2</c:v>
                </c:pt>
                <c:pt idx="7">
                  <c:v>2019 - Q3</c:v>
                </c:pt>
                <c:pt idx="8">
                  <c:v>2019 - Q4</c:v>
                </c:pt>
                <c:pt idx="9">
                  <c:v>2020 - Q1</c:v>
                </c:pt>
                <c:pt idx="10">
                  <c:v>2020 - Q2</c:v>
                </c:pt>
                <c:pt idx="11">
                  <c:v>2020 - Q3</c:v>
                </c:pt>
                <c:pt idx="12">
                  <c:v>2020 - Q4</c:v>
                </c:pt>
                <c:pt idx="13">
                  <c:v>2021 - Q1</c:v>
                </c:pt>
                <c:pt idx="14">
                  <c:v>2021 - Q2</c:v>
                </c:pt>
                <c:pt idx="15">
                  <c:v>2021 - Q3</c:v>
                </c:pt>
                <c:pt idx="16">
                  <c:v>2021 - Q4</c:v>
                </c:pt>
                <c:pt idx="17">
                  <c:v>2022 - Q1</c:v>
                </c:pt>
                <c:pt idx="18">
                  <c:v>2022 - Q2</c:v>
                </c:pt>
                <c:pt idx="19">
                  <c:v>2022 - Q3</c:v>
                </c:pt>
                <c:pt idx="20">
                  <c:v>2022 - Q4</c:v>
                </c:pt>
                <c:pt idx="21">
                  <c:v>2023 - Q1</c:v>
                </c:pt>
                <c:pt idx="22">
                  <c:v>2023 - Q2</c:v>
                </c:pt>
                <c:pt idx="23">
                  <c:v>2023 - Q3</c:v>
                </c:pt>
                <c:pt idx="24">
                  <c:v>2023 - Q4</c:v>
                </c:pt>
                <c:pt idx="25">
                  <c:v>2024 - Q1</c:v>
                </c:pt>
                <c:pt idx="26">
                  <c:v>2024 - Q2</c:v>
                </c:pt>
                <c:pt idx="27">
                  <c:v>2024 - Q3</c:v>
                </c:pt>
                <c:pt idx="28">
                  <c:v>2024 - Q4</c:v>
                </c:pt>
                <c:pt idx="29">
                  <c:v>2025 - Q1</c:v>
                </c:pt>
                <c:pt idx="30">
                  <c:v>2025 - Q2</c:v>
                </c:pt>
                <c:pt idx="31">
                  <c:v>2025 - Q3</c:v>
                </c:pt>
                <c:pt idx="32">
                  <c:v>2025 - Q4</c:v>
                </c:pt>
                <c:pt idx="33">
                  <c:v>2026 - Q1</c:v>
                </c:pt>
                <c:pt idx="34">
                  <c:v>2026 - Q2</c:v>
                </c:pt>
                <c:pt idx="35">
                  <c:v>2026 - Q3</c:v>
                </c:pt>
                <c:pt idx="36">
                  <c:v>2026 - Q4</c:v>
                </c:pt>
              </c:strCache>
            </c:strRef>
          </c:cat>
          <c:val>
            <c:numRef>
              <c:f>'A.2 &amp; A.3 Time Series Models'!$I$9:$I$44</c:f>
              <c:numCache>
                <c:formatCode>0</c:formatCode>
                <c:ptCount val="36"/>
                <c:pt idx="0">
                  <c:v>365.6</c:v>
                </c:pt>
                <c:pt idx="1">
                  <c:v>365.6</c:v>
                </c:pt>
                <c:pt idx="2">
                  <c:v>393.74</c:v>
                </c:pt>
                <c:pt idx="3">
                  <c:v>366.89600000000002</c:v>
                </c:pt>
                <c:pt idx="4">
                  <c:v>309.41840000000002</c:v>
                </c:pt>
                <c:pt idx="5">
                  <c:v>262.66736000000003</c:v>
                </c:pt>
                <c:pt idx="6">
                  <c:v>281.70694400000002</c:v>
                </c:pt>
                <c:pt idx="7">
                  <c:v>252.54277759999999</c:v>
                </c:pt>
                <c:pt idx="8">
                  <c:v>188.85711104000001</c:v>
                </c:pt>
                <c:pt idx="9">
                  <c:v>148.86284441600003</c:v>
                </c:pt>
                <c:pt idx="10">
                  <c:v>154.70513776640001</c:v>
                </c:pt>
                <c:pt idx="11">
                  <c:v>159.68205510656</c:v>
                </c:pt>
                <c:pt idx="12">
                  <c:v>147.392822042624</c:v>
                </c:pt>
                <c:pt idx="13">
                  <c:v>148.83712881704957</c:v>
                </c:pt>
                <c:pt idx="14">
                  <c:v>161.05485152681985</c:v>
                </c:pt>
                <c:pt idx="15">
                  <c:v>156.70194061072795</c:v>
                </c:pt>
                <c:pt idx="16">
                  <c:v>141.88077624429118</c:v>
                </c:pt>
                <c:pt idx="17">
                  <c:v>133.79231049771647</c:v>
                </c:pt>
                <c:pt idx="18">
                  <c:v>156.59692419908657</c:v>
                </c:pt>
                <c:pt idx="19">
                  <c:v>163.67876967963463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71-4953-915A-371CD145A933}"/>
            </c:ext>
          </c:extLst>
        </c:ser>
        <c:ser>
          <c:idx val="4"/>
          <c:order val="4"/>
          <c:tx>
            <c:strRef>
              <c:f>'A.2 &amp; A.3 Time Series Models'!$J$8</c:f>
              <c:strCache>
                <c:ptCount val="1"/>
                <c:pt idx="0">
                  <c:v>SES Forecast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'A.2 &amp; A.3 Time Series Models'!$B$8:$B$44</c:f>
              <c:strCache>
                <c:ptCount val="37"/>
                <c:pt idx="0">
                  <c:v>Year</c:v>
                </c:pt>
                <c:pt idx="1">
                  <c:v>2018 - Q1</c:v>
                </c:pt>
                <c:pt idx="2">
                  <c:v>2018 - Q2</c:v>
                </c:pt>
                <c:pt idx="3">
                  <c:v>2018 - Q3</c:v>
                </c:pt>
                <c:pt idx="4">
                  <c:v>2018 - Q4</c:v>
                </c:pt>
                <c:pt idx="5">
                  <c:v>2019 - Q1</c:v>
                </c:pt>
                <c:pt idx="6">
                  <c:v>2019 - Q2</c:v>
                </c:pt>
                <c:pt idx="7">
                  <c:v>2019 - Q3</c:v>
                </c:pt>
                <c:pt idx="8">
                  <c:v>2019 - Q4</c:v>
                </c:pt>
                <c:pt idx="9">
                  <c:v>2020 - Q1</c:v>
                </c:pt>
                <c:pt idx="10">
                  <c:v>2020 - Q2</c:v>
                </c:pt>
                <c:pt idx="11">
                  <c:v>2020 - Q3</c:v>
                </c:pt>
                <c:pt idx="12">
                  <c:v>2020 - Q4</c:v>
                </c:pt>
                <c:pt idx="13">
                  <c:v>2021 - Q1</c:v>
                </c:pt>
                <c:pt idx="14">
                  <c:v>2021 - Q2</c:v>
                </c:pt>
                <c:pt idx="15">
                  <c:v>2021 - Q3</c:v>
                </c:pt>
                <c:pt idx="16">
                  <c:v>2021 - Q4</c:v>
                </c:pt>
                <c:pt idx="17">
                  <c:v>2022 - Q1</c:v>
                </c:pt>
                <c:pt idx="18">
                  <c:v>2022 - Q2</c:v>
                </c:pt>
                <c:pt idx="19">
                  <c:v>2022 - Q3</c:v>
                </c:pt>
                <c:pt idx="20">
                  <c:v>2022 - Q4</c:v>
                </c:pt>
                <c:pt idx="21">
                  <c:v>2023 - Q1</c:v>
                </c:pt>
                <c:pt idx="22">
                  <c:v>2023 - Q2</c:v>
                </c:pt>
                <c:pt idx="23">
                  <c:v>2023 - Q3</c:v>
                </c:pt>
                <c:pt idx="24">
                  <c:v>2023 - Q4</c:v>
                </c:pt>
                <c:pt idx="25">
                  <c:v>2024 - Q1</c:v>
                </c:pt>
                <c:pt idx="26">
                  <c:v>2024 - Q2</c:v>
                </c:pt>
                <c:pt idx="27">
                  <c:v>2024 - Q3</c:v>
                </c:pt>
                <c:pt idx="28">
                  <c:v>2024 - Q4</c:v>
                </c:pt>
                <c:pt idx="29">
                  <c:v>2025 - Q1</c:v>
                </c:pt>
                <c:pt idx="30">
                  <c:v>2025 - Q2</c:v>
                </c:pt>
                <c:pt idx="31">
                  <c:v>2025 - Q3</c:v>
                </c:pt>
                <c:pt idx="32">
                  <c:v>2025 - Q4</c:v>
                </c:pt>
                <c:pt idx="33">
                  <c:v>2026 - Q1</c:v>
                </c:pt>
                <c:pt idx="34">
                  <c:v>2026 - Q2</c:v>
                </c:pt>
                <c:pt idx="35">
                  <c:v>2026 - Q3</c:v>
                </c:pt>
                <c:pt idx="36">
                  <c:v>2026 - Q4</c:v>
                </c:pt>
              </c:strCache>
            </c:strRef>
          </c:cat>
          <c:val>
            <c:numRef>
              <c:f>'A.2 &amp; A.3 Time Series Models'!$J$9:$J$44</c:f>
              <c:numCache>
                <c:formatCode>General</c:formatCode>
                <c:ptCount val="36"/>
                <c:pt idx="19" formatCode="0">
                  <c:v>163.67876967963463</c:v>
                </c:pt>
                <c:pt idx="20" formatCode="0">
                  <c:v>163.67876967963463</c:v>
                </c:pt>
                <c:pt idx="21" formatCode="0">
                  <c:v>163.67876967963463</c:v>
                </c:pt>
                <c:pt idx="22" formatCode="0">
                  <c:v>163.67876967963463</c:v>
                </c:pt>
                <c:pt idx="23" formatCode="0">
                  <c:v>163.67876967963463</c:v>
                </c:pt>
                <c:pt idx="24" formatCode="0">
                  <c:v>163.67876967963463</c:v>
                </c:pt>
                <c:pt idx="25" formatCode="0">
                  <c:v>163.67876967963463</c:v>
                </c:pt>
                <c:pt idx="26" formatCode="0">
                  <c:v>163.67876967963463</c:v>
                </c:pt>
                <c:pt idx="27" formatCode="0">
                  <c:v>163.67876967963463</c:v>
                </c:pt>
                <c:pt idx="28" formatCode="0">
                  <c:v>163.67876967963463</c:v>
                </c:pt>
                <c:pt idx="29" formatCode="0">
                  <c:v>163.67876967963463</c:v>
                </c:pt>
                <c:pt idx="30" formatCode="0">
                  <c:v>163.67876967963463</c:v>
                </c:pt>
                <c:pt idx="31" formatCode="0">
                  <c:v>163.67876967963463</c:v>
                </c:pt>
                <c:pt idx="32" formatCode="0">
                  <c:v>163.67876967963463</c:v>
                </c:pt>
                <c:pt idx="33" formatCode="0">
                  <c:v>163.67876967963463</c:v>
                </c:pt>
                <c:pt idx="34" formatCode="0">
                  <c:v>163.67876967963463</c:v>
                </c:pt>
                <c:pt idx="35" formatCode="0">
                  <c:v>163.67876967963463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71-4953-915A-371CD145A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083104"/>
        <c:axId val="1186980879"/>
      </c:lineChart>
      <c:catAx>
        <c:axId val="141308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980879"/>
        <c:crosses val="autoZero"/>
        <c:auto val="1"/>
        <c:lblAlgn val="ctr"/>
        <c:lblOffset val="100"/>
        <c:noMultiLvlLbl val="0"/>
      </c:catAx>
      <c:valAx>
        <c:axId val="118698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08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Fridge Sales - LES Forecasting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'A.2 &amp; A.3 Time Series Models'!$C$8</c:f>
              <c:strCache>
                <c:ptCount val="1"/>
                <c:pt idx="0">
                  <c:v>T-Shirts (000's)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'A.2 &amp; A.3 Time Series Models'!$B$9:$B$44</c:f>
              <c:strCache>
                <c:ptCount val="36"/>
                <c:pt idx="0">
                  <c:v>2018 - Q1</c:v>
                </c:pt>
                <c:pt idx="1">
                  <c:v>2018 - Q2</c:v>
                </c:pt>
                <c:pt idx="2">
                  <c:v>2018 - Q3</c:v>
                </c:pt>
                <c:pt idx="3">
                  <c:v>2018 - Q4</c:v>
                </c:pt>
                <c:pt idx="4">
                  <c:v>2019 - Q1</c:v>
                </c:pt>
                <c:pt idx="5">
                  <c:v>2019 - Q2</c:v>
                </c:pt>
                <c:pt idx="6">
                  <c:v>2019 - Q3</c:v>
                </c:pt>
                <c:pt idx="7">
                  <c:v>2019 - Q4</c:v>
                </c:pt>
                <c:pt idx="8">
                  <c:v>2020 - Q1</c:v>
                </c:pt>
                <c:pt idx="9">
                  <c:v>2020 - Q2</c:v>
                </c:pt>
                <c:pt idx="10">
                  <c:v>2020 - Q3</c:v>
                </c:pt>
                <c:pt idx="11">
                  <c:v>2020 - Q4</c:v>
                </c:pt>
                <c:pt idx="12">
                  <c:v>2021 - Q1</c:v>
                </c:pt>
                <c:pt idx="13">
                  <c:v>2021 - Q2</c:v>
                </c:pt>
                <c:pt idx="14">
                  <c:v>2021 - Q3</c:v>
                </c:pt>
                <c:pt idx="15">
                  <c:v>2021 - Q4</c:v>
                </c:pt>
                <c:pt idx="16">
                  <c:v>2022 - Q1</c:v>
                </c:pt>
                <c:pt idx="17">
                  <c:v>2022 - Q2</c:v>
                </c:pt>
                <c:pt idx="18">
                  <c:v>2022 - Q3</c:v>
                </c:pt>
                <c:pt idx="19">
                  <c:v>2022 - Q4</c:v>
                </c:pt>
                <c:pt idx="20">
                  <c:v>2023 - Q1</c:v>
                </c:pt>
                <c:pt idx="21">
                  <c:v>2023 - Q2</c:v>
                </c:pt>
                <c:pt idx="22">
                  <c:v>2023 - Q3</c:v>
                </c:pt>
                <c:pt idx="23">
                  <c:v>2023 - Q4</c:v>
                </c:pt>
                <c:pt idx="24">
                  <c:v>2024 - Q1</c:v>
                </c:pt>
                <c:pt idx="25">
                  <c:v>2024 - Q2</c:v>
                </c:pt>
                <c:pt idx="26">
                  <c:v>2024 - Q3</c:v>
                </c:pt>
                <c:pt idx="27">
                  <c:v>2024 - Q4</c:v>
                </c:pt>
                <c:pt idx="28">
                  <c:v>2025 - Q1</c:v>
                </c:pt>
                <c:pt idx="29">
                  <c:v>2025 - Q2</c:v>
                </c:pt>
                <c:pt idx="30">
                  <c:v>2025 - Q3</c:v>
                </c:pt>
                <c:pt idx="31">
                  <c:v>2025 - Q4</c:v>
                </c:pt>
                <c:pt idx="32">
                  <c:v>2026 - Q1</c:v>
                </c:pt>
                <c:pt idx="33">
                  <c:v>2026 - Q2</c:v>
                </c:pt>
                <c:pt idx="34">
                  <c:v>2026 - Q3</c:v>
                </c:pt>
                <c:pt idx="35">
                  <c:v>2026 - Q4</c:v>
                </c:pt>
              </c:strCache>
            </c:strRef>
          </c:cat>
          <c:val>
            <c:numRef>
              <c:f>'A.2 &amp; A.3 Time Series Models'!$C$9:$C$44</c:f>
              <c:numCache>
                <c:formatCode>0.00</c:formatCode>
                <c:ptCount val="36"/>
                <c:pt idx="0">
                  <c:v>365.6</c:v>
                </c:pt>
                <c:pt idx="1">
                  <c:v>412.5</c:v>
                </c:pt>
                <c:pt idx="2">
                  <c:v>349</c:v>
                </c:pt>
                <c:pt idx="3">
                  <c:v>271.10000000000002</c:v>
                </c:pt>
                <c:pt idx="4">
                  <c:v>231.5</c:v>
                </c:pt>
                <c:pt idx="5">
                  <c:v>294.39999999999998</c:v>
                </c:pt>
                <c:pt idx="6">
                  <c:v>233.1</c:v>
                </c:pt>
                <c:pt idx="7">
                  <c:v>146.4</c:v>
                </c:pt>
                <c:pt idx="8">
                  <c:v>122.20000000000002</c:v>
                </c:pt>
                <c:pt idx="9">
                  <c:v>158.6</c:v>
                </c:pt>
                <c:pt idx="10">
                  <c:v>163</c:v>
                </c:pt>
                <c:pt idx="11">
                  <c:v>139.19999999999999</c:v>
                </c:pt>
                <c:pt idx="12">
                  <c:v>149.79999999999998</c:v>
                </c:pt>
                <c:pt idx="13">
                  <c:v>169.2</c:v>
                </c:pt>
                <c:pt idx="14">
                  <c:v>153.80000000000001</c:v>
                </c:pt>
                <c:pt idx="15">
                  <c:v>132</c:v>
                </c:pt>
                <c:pt idx="16">
                  <c:v>128.4</c:v>
                </c:pt>
                <c:pt idx="17">
                  <c:v>171.8</c:v>
                </c:pt>
                <c:pt idx="18">
                  <c:v>168.4</c:v>
                </c:pt>
                <c:pt idx="19">
                  <c:v>155.5</c:v>
                </c:pt>
                <c:pt idx="20">
                  <c:v>170.8</c:v>
                </c:pt>
                <c:pt idx="21">
                  <c:v>217.70000000000002</c:v>
                </c:pt>
                <c:pt idx="22">
                  <c:v>227.8</c:v>
                </c:pt>
                <c:pt idx="23">
                  <c:v>213.39999999999998</c:v>
                </c:pt>
                <c:pt idx="24">
                  <c:v>211</c:v>
                </c:pt>
                <c:pt idx="25">
                  <c:v>275.7</c:v>
                </c:pt>
                <c:pt idx="26">
                  <c:v>260.39999999999998</c:v>
                </c:pt>
                <c:pt idx="27">
                  <c:v>243.8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C3-4C6B-B525-B66D3AB8545F}"/>
            </c:ext>
          </c:extLst>
        </c:ser>
        <c:ser>
          <c:idx val="1"/>
          <c:order val="1"/>
          <c:tx>
            <c:strRef>
              <c:f>'A.2 &amp; A.3 Time Series Models'!$D$8</c:f>
              <c:strCache>
                <c:ptCount val="1"/>
                <c:pt idx="0">
                  <c:v>In-Sample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'A.2 &amp; A.3 Time Series Models'!$B$9:$B$44</c:f>
              <c:strCache>
                <c:ptCount val="36"/>
                <c:pt idx="0">
                  <c:v>2018 - Q1</c:v>
                </c:pt>
                <c:pt idx="1">
                  <c:v>2018 - Q2</c:v>
                </c:pt>
                <c:pt idx="2">
                  <c:v>2018 - Q3</c:v>
                </c:pt>
                <c:pt idx="3">
                  <c:v>2018 - Q4</c:v>
                </c:pt>
                <c:pt idx="4">
                  <c:v>2019 - Q1</c:v>
                </c:pt>
                <c:pt idx="5">
                  <c:v>2019 - Q2</c:v>
                </c:pt>
                <c:pt idx="6">
                  <c:v>2019 - Q3</c:v>
                </c:pt>
                <c:pt idx="7">
                  <c:v>2019 - Q4</c:v>
                </c:pt>
                <c:pt idx="8">
                  <c:v>2020 - Q1</c:v>
                </c:pt>
                <c:pt idx="9">
                  <c:v>2020 - Q2</c:v>
                </c:pt>
                <c:pt idx="10">
                  <c:v>2020 - Q3</c:v>
                </c:pt>
                <c:pt idx="11">
                  <c:v>2020 - Q4</c:v>
                </c:pt>
                <c:pt idx="12">
                  <c:v>2021 - Q1</c:v>
                </c:pt>
                <c:pt idx="13">
                  <c:v>2021 - Q2</c:v>
                </c:pt>
                <c:pt idx="14">
                  <c:v>2021 - Q3</c:v>
                </c:pt>
                <c:pt idx="15">
                  <c:v>2021 - Q4</c:v>
                </c:pt>
                <c:pt idx="16">
                  <c:v>2022 - Q1</c:v>
                </c:pt>
                <c:pt idx="17">
                  <c:v>2022 - Q2</c:v>
                </c:pt>
                <c:pt idx="18">
                  <c:v>2022 - Q3</c:v>
                </c:pt>
                <c:pt idx="19">
                  <c:v>2022 - Q4</c:v>
                </c:pt>
                <c:pt idx="20">
                  <c:v>2023 - Q1</c:v>
                </c:pt>
                <c:pt idx="21">
                  <c:v>2023 - Q2</c:v>
                </c:pt>
                <c:pt idx="22">
                  <c:v>2023 - Q3</c:v>
                </c:pt>
                <c:pt idx="23">
                  <c:v>2023 - Q4</c:v>
                </c:pt>
                <c:pt idx="24">
                  <c:v>2024 - Q1</c:v>
                </c:pt>
                <c:pt idx="25">
                  <c:v>2024 - Q2</c:v>
                </c:pt>
                <c:pt idx="26">
                  <c:v>2024 - Q3</c:v>
                </c:pt>
                <c:pt idx="27">
                  <c:v>2024 - Q4</c:v>
                </c:pt>
                <c:pt idx="28">
                  <c:v>2025 - Q1</c:v>
                </c:pt>
                <c:pt idx="29">
                  <c:v>2025 - Q2</c:v>
                </c:pt>
                <c:pt idx="30">
                  <c:v>2025 - Q3</c:v>
                </c:pt>
                <c:pt idx="31">
                  <c:v>2025 - Q4</c:v>
                </c:pt>
                <c:pt idx="32">
                  <c:v>2026 - Q1</c:v>
                </c:pt>
                <c:pt idx="33">
                  <c:v>2026 - Q2</c:v>
                </c:pt>
                <c:pt idx="34">
                  <c:v>2026 - Q3</c:v>
                </c:pt>
                <c:pt idx="35">
                  <c:v>2026 - Q4</c:v>
                </c:pt>
              </c:strCache>
            </c:strRef>
          </c:cat>
          <c:val>
            <c:numRef>
              <c:f>'A.2 &amp; A.3 Time Series Models'!$D$9:$D$44</c:f>
              <c:numCache>
                <c:formatCode>General</c:formatCode>
                <c:ptCount val="36"/>
                <c:pt idx="0">
                  <c:v>365.6</c:v>
                </c:pt>
                <c:pt idx="1">
                  <c:v>412.5</c:v>
                </c:pt>
                <c:pt idx="2">
                  <c:v>349</c:v>
                </c:pt>
                <c:pt idx="3">
                  <c:v>271.10000000000002</c:v>
                </c:pt>
                <c:pt idx="4">
                  <c:v>231.5</c:v>
                </c:pt>
                <c:pt idx="5">
                  <c:v>294.39999999999998</c:v>
                </c:pt>
                <c:pt idx="6">
                  <c:v>233.1</c:v>
                </c:pt>
                <c:pt idx="7">
                  <c:v>146.4</c:v>
                </c:pt>
                <c:pt idx="8">
                  <c:v>122.20000000000002</c:v>
                </c:pt>
                <c:pt idx="9">
                  <c:v>158.6</c:v>
                </c:pt>
                <c:pt idx="10">
                  <c:v>163</c:v>
                </c:pt>
                <c:pt idx="11">
                  <c:v>139.19999999999999</c:v>
                </c:pt>
                <c:pt idx="12">
                  <c:v>149.79999999999998</c:v>
                </c:pt>
                <c:pt idx="13">
                  <c:v>169.2</c:v>
                </c:pt>
                <c:pt idx="14">
                  <c:v>153.80000000000001</c:v>
                </c:pt>
                <c:pt idx="15">
                  <c:v>132</c:v>
                </c:pt>
                <c:pt idx="16">
                  <c:v>128.4</c:v>
                </c:pt>
                <c:pt idx="17">
                  <c:v>171.8</c:v>
                </c:pt>
                <c:pt idx="18">
                  <c:v>168.4</c:v>
                </c:pt>
                <c:pt idx="19">
                  <c:v>155.5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C3-4C6B-B525-B66D3AB8545F}"/>
            </c:ext>
          </c:extLst>
        </c:ser>
        <c:ser>
          <c:idx val="2"/>
          <c:order val="2"/>
          <c:tx>
            <c:strRef>
              <c:f>'A.2 &amp; A.3 Time Series Models'!$E$8</c:f>
              <c:strCache>
                <c:ptCount val="1"/>
                <c:pt idx="0">
                  <c:v>Out-of-Sample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'A.2 &amp; A.3 Time Series Models'!$B$9:$B$44</c:f>
              <c:strCache>
                <c:ptCount val="36"/>
                <c:pt idx="0">
                  <c:v>2018 - Q1</c:v>
                </c:pt>
                <c:pt idx="1">
                  <c:v>2018 - Q2</c:v>
                </c:pt>
                <c:pt idx="2">
                  <c:v>2018 - Q3</c:v>
                </c:pt>
                <c:pt idx="3">
                  <c:v>2018 - Q4</c:v>
                </c:pt>
                <c:pt idx="4">
                  <c:v>2019 - Q1</c:v>
                </c:pt>
                <c:pt idx="5">
                  <c:v>2019 - Q2</c:v>
                </c:pt>
                <c:pt idx="6">
                  <c:v>2019 - Q3</c:v>
                </c:pt>
                <c:pt idx="7">
                  <c:v>2019 - Q4</c:v>
                </c:pt>
                <c:pt idx="8">
                  <c:v>2020 - Q1</c:v>
                </c:pt>
                <c:pt idx="9">
                  <c:v>2020 - Q2</c:v>
                </c:pt>
                <c:pt idx="10">
                  <c:v>2020 - Q3</c:v>
                </c:pt>
                <c:pt idx="11">
                  <c:v>2020 - Q4</c:v>
                </c:pt>
                <c:pt idx="12">
                  <c:v>2021 - Q1</c:v>
                </c:pt>
                <c:pt idx="13">
                  <c:v>2021 - Q2</c:v>
                </c:pt>
                <c:pt idx="14">
                  <c:v>2021 - Q3</c:v>
                </c:pt>
                <c:pt idx="15">
                  <c:v>2021 - Q4</c:v>
                </c:pt>
                <c:pt idx="16">
                  <c:v>2022 - Q1</c:v>
                </c:pt>
                <c:pt idx="17">
                  <c:v>2022 - Q2</c:v>
                </c:pt>
                <c:pt idx="18">
                  <c:v>2022 - Q3</c:v>
                </c:pt>
                <c:pt idx="19">
                  <c:v>2022 - Q4</c:v>
                </c:pt>
                <c:pt idx="20">
                  <c:v>2023 - Q1</c:v>
                </c:pt>
                <c:pt idx="21">
                  <c:v>2023 - Q2</c:v>
                </c:pt>
                <c:pt idx="22">
                  <c:v>2023 - Q3</c:v>
                </c:pt>
                <c:pt idx="23">
                  <c:v>2023 - Q4</c:v>
                </c:pt>
                <c:pt idx="24">
                  <c:v>2024 - Q1</c:v>
                </c:pt>
                <c:pt idx="25">
                  <c:v>2024 - Q2</c:v>
                </c:pt>
                <c:pt idx="26">
                  <c:v>2024 - Q3</c:v>
                </c:pt>
                <c:pt idx="27">
                  <c:v>2024 - Q4</c:v>
                </c:pt>
                <c:pt idx="28">
                  <c:v>2025 - Q1</c:v>
                </c:pt>
                <c:pt idx="29">
                  <c:v>2025 - Q2</c:v>
                </c:pt>
                <c:pt idx="30">
                  <c:v>2025 - Q3</c:v>
                </c:pt>
                <c:pt idx="31">
                  <c:v>2025 - Q4</c:v>
                </c:pt>
                <c:pt idx="32">
                  <c:v>2026 - Q1</c:v>
                </c:pt>
                <c:pt idx="33">
                  <c:v>2026 - Q2</c:v>
                </c:pt>
                <c:pt idx="34">
                  <c:v>2026 - Q3</c:v>
                </c:pt>
                <c:pt idx="35">
                  <c:v>2026 - Q4</c:v>
                </c:pt>
              </c:strCache>
            </c:strRef>
          </c:cat>
          <c:val>
            <c:numRef>
              <c:f>'A.2 &amp; A.3 Time Series Models'!$E$9:$E$44</c:f>
              <c:numCache>
                <c:formatCode>General</c:formatCode>
                <c:ptCount val="36"/>
                <c:pt idx="19" formatCode="0.0">
                  <c:v>155.5</c:v>
                </c:pt>
                <c:pt idx="20" formatCode="0.0">
                  <c:v>170.8</c:v>
                </c:pt>
                <c:pt idx="21" formatCode="0.0">
                  <c:v>217.70000000000002</c:v>
                </c:pt>
                <c:pt idx="22" formatCode="0.0">
                  <c:v>227.8</c:v>
                </c:pt>
                <c:pt idx="23" formatCode="0.0">
                  <c:v>213.39999999999998</c:v>
                </c:pt>
                <c:pt idx="24" formatCode="0.0">
                  <c:v>211</c:v>
                </c:pt>
                <c:pt idx="25" formatCode="0.0">
                  <c:v>275.7</c:v>
                </c:pt>
                <c:pt idx="26" formatCode="0.0">
                  <c:v>260.39999999999998</c:v>
                </c:pt>
                <c:pt idx="27" formatCode="0.0">
                  <c:v>243.8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C3-4C6B-B525-B66D3AB8545F}"/>
            </c:ext>
          </c:extLst>
        </c:ser>
        <c:ser>
          <c:idx val="3"/>
          <c:order val="3"/>
          <c:tx>
            <c:strRef>
              <c:f>'A.2 &amp; A.3 Time Series Models'!$L$8</c:f>
              <c:strCache>
                <c:ptCount val="1"/>
                <c:pt idx="0">
                  <c:v>Level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'A.2 &amp; A.3 Time Series Models'!$B$9:$B$44</c:f>
              <c:strCache>
                <c:ptCount val="36"/>
                <c:pt idx="0">
                  <c:v>2018 - Q1</c:v>
                </c:pt>
                <c:pt idx="1">
                  <c:v>2018 - Q2</c:v>
                </c:pt>
                <c:pt idx="2">
                  <c:v>2018 - Q3</c:v>
                </c:pt>
                <c:pt idx="3">
                  <c:v>2018 - Q4</c:v>
                </c:pt>
                <c:pt idx="4">
                  <c:v>2019 - Q1</c:v>
                </c:pt>
                <c:pt idx="5">
                  <c:v>2019 - Q2</c:v>
                </c:pt>
                <c:pt idx="6">
                  <c:v>2019 - Q3</c:v>
                </c:pt>
                <c:pt idx="7">
                  <c:v>2019 - Q4</c:v>
                </c:pt>
                <c:pt idx="8">
                  <c:v>2020 - Q1</c:v>
                </c:pt>
                <c:pt idx="9">
                  <c:v>2020 - Q2</c:v>
                </c:pt>
                <c:pt idx="10">
                  <c:v>2020 - Q3</c:v>
                </c:pt>
                <c:pt idx="11">
                  <c:v>2020 - Q4</c:v>
                </c:pt>
                <c:pt idx="12">
                  <c:v>2021 - Q1</c:v>
                </c:pt>
                <c:pt idx="13">
                  <c:v>2021 - Q2</c:v>
                </c:pt>
                <c:pt idx="14">
                  <c:v>2021 - Q3</c:v>
                </c:pt>
                <c:pt idx="15">
                  <c:v>2021 - Q4</c:v>
                </c:pt>
                <c:pt idx="16">
                  <c:v>2022 - Q1</c:v>
                </c:pt>
                <c:pt idx="17">
                  <c:v>2022 - Q2</c:v>
                </c:pt>
                <c:pt idx="18">
                  <c:v>2022 - Q3</c:v>
                </c:pt>
                <c:pt idx="19">
                  <c:v>2022 - Q4</c:v>
                </c:pt>
                <c:pt idx="20">
                  <c:v>2023 - Q1</c:v>
                </c:pt>
                <c:pt idx="21">
                  <c:v>2023 - Q2</c:v>
                </c:pt>
                <c:pt idx="22">
                  <c:v>2023 - Q3</c:v>
                </c:pt>
                <c:pt idx="23">
                  <c:v>2023 - Q4</c:v>
                </c:pt>
                <c:pt idx="24">
                  <c:v>2024 - Q1</c:v>
                </c:pt>
                <c:pt idx="25">
                  <c:v>2024 - Q2</c:v>
                </c:pt>
                <c:pt idx="26">
                  <c:v>2024 - Q3</c:v>
                </c:pt>
                <c:pt idx="27">
                  <c:v>2024 - Q4</c:v>
                </c:pt>
                <c:pt idx="28">
                  <c:v>2025 - Q1</c:v>
                </c:pt>
                <c:pt idx="29">
                  <c:v>2025 - Q2</c:v>
                </c:pt>
                <c:pt idx="30">
                  <c:v>2025 - Q3</c:v>
                </c:pt>
                <c:pt idx="31">
                  <c:v>2025 - Q4</c:v>
                </c:pt>
                <c:pt idx="32">
                  <c:v>2026 - Q1</c:v>
                </c:pt>
                <c:pt idx="33">
                  <c:v>2026 - Q2</c:v>
                </c:pt>
                <c:pt idx="34">
                  <c:v>2026 - Q3</c:v>
                </c:pt>
                <c:pt idx="35">
                  <c:v>2026 - Q4</c:v>
                </c:pt>
              </c:strCache>
            </c:strRef>
          </c:cat>
          <c:val>
            <c:numRef>
              <c:f>'A.2 &amp; A.3 Time Series Models'!$L$9:$L$28</c:f>
              <c:numCache>
                <c:formatCode>_-* #,##0_-;\-* #,##0_-;_-* "-"??_-;_-@_-</c:formatCode>
                <c:ptCount val="20"/>
                <c:pt idx="0" formatCode="0.00">
                  <c:v>365.6</c:v>
                </c:pt>
                <c:pt idx="1">
                  <c:v>389.05</c:v>
                </c:pt>
                <c:pt idx="2">
                  <c:v>378.40499999999997</c:v>
                </c:pt>
                <c:pt idx="3">
                  <c:v>322.37049999999999</c:v>
                </c:pt>
                <c:pt idx="4">
                  <c:v>254.04505</c:v>
                </c:pt>
                <c:pt idx="5">
                  <c:v>242.31430499999999</c:v>
                </c:pt>
                <c:pt idx="6">
                  <c:v>226.63321049999999</c:v>
                </c:pt>
                <c:pt idx="7">
                  <c:v>178.02937904999999</c:v>
                </c:pt>
                <c:pt idx="8">
                  <c:v>128.97571170499998</c:v>
                </c:pt>
                <c:pt idx="9">
                  <c:v>119.93859335049999</c:v>
                </c:pt>
                <c:pt idx="10">
                  <c:v>133.08459683305</c:v>
                </c:pt>
                <c:pt idx="11">
                  <c:v>139.72375984110499</c:v>
                </c:pt>
                <c:pt idx="12">
                  <c:v>148.13383740869048</c:v>
                </c:pt>
                <c:pt idx="13">
                  <c:v>162.70534122900705</c:v>
                </c:pt>
                <c:pt idx="14">
                  <c:v>164.88895664756251</c:v>
                </c:pt>
                <c:pt idx="15">
                  <c:v>150.64518169781525</c:v>
                </c:pt>
                <c:pt idx="16">
                  <c:v>134.26522154381553</c:v>
                </c:pt>
                <c:pt idx="17">
                  <c:v>145.42915284928947</c:v>
                </c:pt>
                <c:pt idx="18">
                  <c:v>159.85945736231065</c:v>
                </c:pt>
                <c:pt idx="19">
                  <c:v>164.04082667389699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C3-4C6B-B525-B66D3AB8545F}"/>
            </c:ext>
          </c:extLst>
        </c:ser>
        <c:ser>
          <c:idx val="4"/>
          <c:order val="4"/>
          <c:tx>
            <c:strRef>
              <c:f>'A.2 &amp; A.3 Time Series Models'!$N$8</c:f>
              <c:strCache>
                <c:ptCount val="1"/>
                <c:pt idx="0">
                  <c:v>LES Forecast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'A.2 &amp; A.3 Time Series Models'!$B$9:$B$44</c:f>
              <c:strCache>
                <c:ptCount val="36"/>
                <c:pt idx="0">
                  <c:v>2018 - Q1</c:v>
                </c:pt>
                <c:pt idx="1">
                  <c:v>2018 - Q2</c:v>
                </c:pt>
                <c:pt idx="2">
                  <c:v>2018 - Q3</c:v>
                </c:pt>
                <c:pt idx="3">
                  <c:v>2018 - Q4</c:v>
                </c:pt>
                <c:pt idx="4">
                  <c:v>2019 - Q1</c:v>
                </c:pt>
                <c:pt idx="5">
                  <c:v>2019 - Q2</c:v>
                </c:pt>
                <c:pt idx="6">
                  <c:v>2019 - Q3</c:v>
                </c:pt>
                <c:pt idx="7">
                  <c:v>2019 - Q4</c:v>
                </c:pt>
                <c:pt idx="8">
                  <c:v>2020 - Q1</c:v>
                </c:pt>
                <c:pt idx="9">
                  <c:v>2020 - Q2</c:v>
                </c:pt>
                <c:pt idx="10">
                  <c:v>2020 - Q3</c:v>
                </c:pt>
                <c:pt idx="11">
                  <c:v>2020 - Q4</c:v>
                </c:pt>
                <c:pt idx="12">
                  <c:v>2021 - Q1</c:v>
                </c:pt>
                <c:pt idx="13">
                  <c:v>2021 - Q2</c:v>
                </c:pt>
                <c:pt idx="14">
                  <c:v>2021 - Q3</c:v>
                </c:pt>
                <c:pt idx="15">
                  <c:v>2021 - Q4</c:v>
                </c:pt>
                <c:pt idx="16">
                  <c:v>2022 - Q1</c:v>
                </c:pt>
                <c:pt idx="17">
                  <c:v>2022 - Q2</c:v>
                </c:pt>
                <c:pt idx="18">
                  <c:v>2022 - Q3</c:v>
                </c:pt>
                <c:pt idx="19">
                  <c:v>2022 - Q4</c:v>
                </c:pt>
                <c:pt idx="20">
                  <c:v>2023 - Q1</c:v>
                </c:pt>
                <c:pt idx="21">
                  <c:v>2023 - Q2</c:v>
                </c:pt>
                <c:pt idx="22">
                  <c:v>2023 - Q3</c:v>
                </c:pt>
                <c:pt idx="23">
                  <c:v>2023 - Q4</c:v>
                </c:pt>
                <c:pt idx="24">
                  <c:v>2024 - Q1</c:v>
                </c:pt>
                <c:pt idx="25">
                  <c:v>2024 - Q2</c:v>
                </c:pt>
                <c:pt idx="26">
                  <c:v>2024 - Q3</c:v>
                </c:pt>
                <c:pt idx="27">
                  <c:v>2024 - Q4</c:v>
                </c:pt>
                <c:pt idx="28">
                  <c:v>2025 - Q1</c:v>
                </c:pt>
                <c:pt idx="29">
                  <c:v>2025 - Q2</c:v>
                </c:pt>
                <c:pt idx="30">
                  <c:v>2025 - Q3</c:v>
                </c:pt>
                <c:pt idx="31">
                  <c:v>2025 - Q4</c:v>
                </c:pt>
                <c:pt idx="32">
                  <c:v>2026 - Q1</c:v>
                </c:pt>
                <c:pt idx="33">
                  <c:v>2026 - Q2</c:v>
                </c:pt>
                <c:pt idx="34">
                  <c:v>2026 - Q3</c:v>
                </c:pt>
                <c:pt idx="35">
                  <c:v>2026 - Q4</c:v>
                </c:pt>
              </c:strCache>
            </c:strRef>
          </c:cat>
          <c:val>
            <c:numRef>
              <c:f>'A.2 &amp; A.3 Time Series Models'!$N$9:$N$44</c:f>
              <c:numCache>
                <c:formatCode>General</c:formatCode>
                <c:ptCount val="36"/>
                <c:pt idx="19" formatCode="_-* #,##0_-;\-* #,##0_-;_-* &quot;-&quot;??_-;_-@_-">
                  <c:v>164.04082667389699</c:v>
                </c:pt>
                <c:pt idx="20" formatCode="_-* #,##0_-;\-* #,##0_-;_-* &quot;-&quot;??_-;_-@_-">
                  <c:v>169.9303613202627</c:v>
                </c:pt>
                <c:pt idx="21" formatCode="_-* #,##0_-;\-* #,##0_-;_-* &quot;-&quot;??_-;_-@_-">
                  <c:v>175.81989596662845</c:v>
                </c:pt>
                <c:pt idx="22" formatCode="_-* #,##0_-;\-* #,##0_-;_-* &quot;-&quot;??_-;_-@_-">
                  <c:v>181.7094306129942</c:v>
                </c:pt>
                <c:pt idx="23" formatCode="_-* #,##0_-;\-* #,##0_-;_-* &quot;-&quot;??_-;_-@_-">
                  <c:v>187.59896525935994</c:v>
                </c:pt>
                <c:pt idx="24" formatCode="_-* #,##0_-;\-* #,##0_-;_-* &quot;-&quot;??_-;_-@_-">
                  <c:v>193.48849990572569</c:v>
                </c:pt>
                <c:pt idx="25" formatCode="_-* #,##0_-;\-* #,##0_-;_-* &quot;-&quot;??_-;_-@_-">
                  <c:v>199.37803455209144</c:v>
                </c:pt>
                <c:pt idx="26" formatCode="_-* #,##0_-;\-* #,##0_-;_-* &quot;-&quot;??_-;_-@_-">
                  <c:v>205.26756919845718</c:v>
                </c:pt>
                <c:pt idx="27" formatCode="_-* #,##0_-;\-* #,##0_-;_-* &quot;-&quot;??_-;_-@_-">
                  <c:v>211.15710384482293</c:v>
                </c:pt>
                <c:pt idx="28" formatCode="_-* #,##0_-;\-* #,##0_-;_-* &quot;-&quot;??_-;_-@_-">
                  <c:v>217.04663849118867</c:v>
                </c:pt>
                <c:pt idx="29" formatCode="_-* #,##0_-;\-* #,##0_-;_-* &quot;-&quot;??_-;_-@_-">
                  <c:v>222.93617313755442</c:v>
                </c:pt>
                <c:pt idx="30" formatCode="_-* #,##0_-;\-* #,##0_-;_-* &quot;-&quot;??_-;_-@_-">
                  <c:v>228.82570778392017</c:v>
                </c:pt>
                <c:pt idx="31" formatCode="_-* #,##0_-;\-* #,##0_-;_-* &quot;-&quot;??_-;_-@_-">
                  <c:v>234.71524243028591</c:v>
                </c:pt>
                <c:pt idx="32" formatCode="_-* #,##0_-;\-* #,##0_-;_-* &quot;-&quot;??_-;_-@_-">
                  <c:v>240.60477707665166</c:v>
                </c:pt>
                <c:pt idx="33" formatCode="_-* #,##0_-;\-* #,##0_-;_-* &quot;-&quot;??_-;_-@_-">
                  <c:v>246.4943117230174</c:v>
                </c:pt>
                <c:pt idx="34" formatCode="_-* #,##0_-;\-* #,##0_-;_-* &quot;-&quot;??_-;_-@_-">
                  <c:v>252.38384636938315</c:v>
                </c:pt>
                <c:pt idx="35" formatCode="_-* #,##0_-;\-* #,##0_-;_-* &quot;-&quot;??_-;_-@_-">
                  <c:v>258.2733810157489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C3-4C6B-B525-B66D3AB85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083104"/>
        <c:axId val="1186980879"/>
      </c:lineChart>
      <c:catAx>
        <c:axId val="141308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980879"/>
        <c:crosses val="autoZero"/>
        <c:auto val="1"/>
        <c:lblAlgn val="ctr"/>
        <c:lblOffset val="100"/>
        <c:noMultiLvlLbl val="0"/>
      </c:catAx>
      <c:valAx>
        <c:axId val="118698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08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Comparison</a:t>
            </a:r>
            <a:r>
              <a:rPr lang="en-IN" baseline="0"/>
              <a:t> of Errors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'A.2 &amp; A.3 Time Series Models'!$AV$3</c:f>
              <c:strCache>
                <c:ptCount val="1"/>
                <c:pt idx="0">
                  <c:v>MAD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'A.2 &amp; A.3 Time Series Models'!$AW$2:$AY$2</c:f>
              <c:strCache>
                <c:ptCount val="3"/>
                <c:pt idx="0">
                  <c:v>MAV</c:v>
                </c:pt>
                <c:pt idx="1">
                  <c:v>SES</c:v>
                </c:pt>
                <c:pt idx="2">
                  <c:v>LES</c:v>
                </c:pt>
              </c:strCache>
            </c:strRef>
          </c:cat>
          <c:val>
            <c:numRef>
              <c:f>'A.2 &amp; A.3 Time Series Models'!$AW$3:$AY$3</c:f>
              <c:numCache>
                <c:formatCode>0</c:formatCode>
                <c:ptCount val="3"/>
                <c:pt idx="0">
                  <c:v>71.55</c:v>
                </c:pt>
                <c:pt idx="1">
                  <c:v>63.896230320365369</c:v>
                </c:pt>
                <c:pt idx="2">
                  <c:v>37.03126741745718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12-4467-8353-AA9A9A2940EB}"/>
            </c:ext>
          </c:extLst>
        </c:ser>
        <c:ser>
          <c:idx val="2"/>
          <c:order val="2"/>
          <c:tx>
            <c:strRef>
              <c:f>'A.2 &amp; A.3 Time Series Models'!$AV$5</c:f>
              <c:strCache>
                <c:ptCount val="1"/>
                <c:pt idx="0">
                  <c:v>RMSE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'A.2 &amp; A.3 Time Series Models'!$AW$2:$AY$2</c:f>
              <c:strCache>
                <c:ptCount val="3"/>
                <c:pt idx="0">
                  <c:v>MAV</c:v>
                </c:pt>
                <c:pt idx="1">
                  <c:v>SES</c:v>
                </c:pt>
                <c:pt idx="2">
                  <c:v>LES</c:v>
                </c:pt>
              </c:strCache>
            </c:strRef>
          </c:cat>
          <c:val>
            <c:numRef>
              <c:f>'A.2 &amp; A.3 Time Series Models'!$AW$5:$AY$5</c:f>
              <c:numCache>
                <c:formatCode>_-* #,##0_-;\-* #,##0_-;_-* "-"??_-;_-@_-</c:formatCode>
                <c:ptCount val="3"/>
                <c:pt idx="0">
                  <c:v>77.788651968008793</c:v>
                </c:pt>
                <c:pt idx="1">
                  <c:v>70.812429164329473</c:v>
                </c:pt>
                <c:pt idx="2" formatCode="0">
                  <c:v>42.984840360081499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12-4467-8353-AA9A9A294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41569087"/>
        <c:axId val="841564287"/>
      </c:barChart>
      <c:lineChart>
        <c:grouping val="standard"/>
        <c:varyColors val="0"/>
        <c:ser>
          <c:idx val="1"/>
          <c:order val="1"/>
          <c:tx>
            <c:strRef>
              <c:f>'A.2 &amp; A.3 Time Series Models'!$AV$4</c:f>
              <c:strCache>
                <c:ptCount val="1"/>
                <c:pt idx="0">
                  <c:v>MAPE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'A.2 &amp; A.3 Time Series Models'!$AW$2:$AY$2</c:f>
              <c:strCache>
                <c:ptCount val="3"/>
                <c:pt idx="0">
                  <c:v>MAV</c:v>
                </c:pt>
                <c:pt idx="1">
                  <c:v>SES</c:v>
                </c:pt>
                <c:pt idx="2">
                  <c:v>LES</c:v>
                </c:pt>
              </c:strCache>
            </c:strRef>
          </c:cat>
          <c:val>
            <c:numRef>
              <c:f>'A.2 &amp; A.3 Time Series Models'!$AW$4:$AY$4</c:f>
              <c:numCache>
                <c:formatCode>0%</c:formatCode>
                <c:ptCount val="3"/>
                <c:pt idx="0">
                  <c:v>0.30115299847411348</c:v>
                </c:pt>
                <c:pt idx="1">
                  <c:v>0.26687122317539597</c:v>
                </c:pt>
                <c:pt idx="2">
                  <c:v>0.15326717294021047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12-4467-8353-AA9A9A294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487487"/>
        <c:axId val="841481727"/>
      </c:lineChart>
      <c:catAx>
        <c:axId val="84156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64287"/>
        <c:crosses val="autoZero"/>
        <c:auto val="1"/>
        <c:lblAlgn val="ctr"/>
        <c:lblOffset val="100"/>
        <c:noMultiLvlLbl val="0"/>
      </c:catAx>
      <c:valAx>
        <c:axId val="84156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69087"/>
        <c:crosses val="autoZero"/>
        <c:crossBetween val="between"/>
      </c:valAx>
      <c:valAx>
        <c:axId val="84148172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87487"/>
        <c:crosses val="max"/>
        <c:crossBetween val="between"/>
      </c:valAx>
      <c:catAx>
        <c:axId val="8414874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1481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Risk</a:t>
            </a:r>
            <a:r>
              <a:rPr lang="en-GB" b="1" baseline="0"/>
              <a:t> Profile of Expected Profit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'B.1 &amp; B.2 Simulation'!$S$5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'B.1 &amp; B.2 Simulation'!$R$6:$R$15</c:f>
              <c:numCache>
                <c:formatCode>_-"£"* #,##0_-;\-"£"* #,##0_-;_-"£"* "-"??_-;_-@_-</c:formatCode>
                <c:ptCount val="10"/>
                <c:pt idx="0">
                  <c:v>1000000</c:v>
                </c:pt>
                <c:pt idx="1">
                  <c:v>1650000</c:v>
                </c:pt>
                <c:pt idx="2">
                  <c:v>2300000</c:v>
                </c:pt>
                <c:pt idx="3">
                  <c:v>2950000</c:v>
                </c:pt>
                <c:pt idx="4">
                  <c:v>3600000</c:v>
                </c:pt>
                <c:pt idx="5">
                  <c:v>4250000</c:v>
                </c:pt>
                <c:pt idx="6">
                  <c:v>4900000</c:v>
                </c:pt>
                <c:pt idx="7">
                  <c:v>5550000</c:v>
                </c:pt>
                <c:pt idx="8">
                  <c:v>6200000</c:v>
                </c:pt>
              </c:numCache>
            </c:numRef>
          </c:cat>
          <c:val>
            <c:numRef>
              <c:f>'B.1 &amp; B.2 Simulation'!$S$6:$S$15</c:f>
              <c:numCache>
                <c:formatCode>General</c:formatCode>
                <c:ptCount val="10"/>
                <c:pt idx="0">
                  <c:v>0</c:v>
                </c:pt>
                <c:pt idx="1">
                  <c:v>9</c:v>
                </c:pt>
                <c:pt idx="2">
                  <c:v>18</c:v>
                </c:pt>
                <c:pt idx="3">
                  <c:v>25</c:v>
                </c:pt>
                <c:pt idx="4">
                  <c:v>35</c:v>
                </c:pt>
                <c:pt idx="5">
                  <c:v>40</c:v>
                </c:pt>
                <c:pt idx="6">
                  <c:v>55</c:v>
                </c:pt>
                <c:pt idx="7">
                  <c:v>52</c:v>
                </c:pt>
                <c:pt idx="8">
                  <c:v>16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2-4D5B-8668-11BA9A318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axId val="817646815"/>
        <c:axId val="817656415"/>
      </c:barChart>
      <c:lineChart>
        <c:grouping val="standard"/>
        <c:varyColors val="0"/>
        <c:ser>
          <c:idx val="1"/>
          <c:order val="1"/>
          <c:tx>
            <c:strRef>
              <c:f>'B.1 &amp; B.2 Simulation'!$T$5</c:f>
              <c:strCache>
                <c:ptCount val="1"/>
                <c:pt idx="0">
                  <c:v>Cummulative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'B.1 &amp; B.2 Simulation'!$R$6:$R$15</c:f>
              <c:numCache>
                <c:formatCode>_-"£"* #,##0_-;\-"£"* #,##0_-;_-"£"* "-"??_-;_-@_-</c:formatCode>
                <c:ptCount val="10"/>
                <c:pt idx="0">
                  <c:v>1000000</c:v>
                </c:pt>
                <c:pt idx="1">
                  <c:v>1650000</c:v>
                </c:pt>
                <c:pt idx="2">
                  <c:v>2300000</c:v>
                </c:pt>
                <c:pt idx="3">
                  <c:v>2950000</c:v>
                </c:pt>
                <c:pt idx="4">
                  <c:v>3600000</c:v>
                </c:pt>
                <c:pt idx="5">
                  <c:v>4250000</c:v>
                </c:pt>
                <c:pt idx="6">
                  <c:v>4900000</c:v>
                </c:pt>
                <c:pt idx="7">
                  <c:v>5550000</c:v>
                </c:pt>
                <c:pt idx="8">
                  <c:v>6200000</c:v>
                </c:pt>
              </c:numCache>
            </c:numRef>
          </c:cat>
          <c:val>
            <c:numRef>
              <c:f>'B.1 &amp; B.2 Simulation'!$T$6:$T$15</c:f>
              <c:numCache>
                <c:formatCode>0%</c:formatCode>
                <c:ptCount val="10"/>
                <c:pt idx="0">
                  <c:v>0</c:v>
                </c:pt>
                <c:pt idx="1">
                  <c:v>3.5999999999999997E-2</c:v>
                </c:pt>
                <c:pt idx="2">
                  <c:v>0.108</c:v>
                </c:pt>
                <c:pt idx="3">
                  <c:v>0.20799999999999999</c:v>
                </c:pt>
                <c:pt idx="4">
                  <c:v>0.34799999999999998</c:v>
                </c:pt>
                <c:pt idx="5">
                  <c:v>0.50800000000000001</c:v>
                </c:pt>
                <c:pt idx="6">
                  <c:v>0.72799999999999998</c:v>
                </c:pt>
                <c:pt idx="7">
                  <c:v>0.93600000000000005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62-4D5B-8668-11BA9A318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825951"/>
        <c:axId val="469821631"/>
      </c:lineChart>
      <c:catAx>
        <c:axId val="817646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Profit</a:t>
                </a:r>
                <a:r>
                  <a:rPr lang="en-GB" baseline="0"/>
                  <a:t> range bins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\&lt;&quot;£&quot;* #,##0_-;\-\&lt;&quot;£&quot;* #,##0_-;_-\&lt;&quot;£&quot;* &quot;-&quot;??_-;_-@_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42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656415"/>
        <c:crosses val="autoZero"/>
        <c:auto val="1"/>
        <c:lblAlgn val="ctr"/>
        <c:lblOffset val="100"/>
        <c:noMultiLvlLbl val="0"/>
      </c:catAx>
      <c:valAx>
        <c:axId val="81765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646815"/>
        <c:crosses val="autoZero"/>
        <c:crossBetween val="between"/>
      </c:valAx>
      <c:valAx>
        <c:axId val="469821631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Cumulative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25951"/>
        <c:crosses val="max"/>
        <c:crossBetween val="between"/>
      </c:valAx>
      <c:catAx>
        <c:axId val="469825951"/>
        <c:scaling>
          <c:orientation val="minMax"/>
        </c:scaling>
        <c:delete val="1"/>
        <c:axPos val="b"/>
        <c:numFmt formatCode="_-&quot;£&quot;* #,##0_-;\-&quot;£&quot;* #,##0_-;_-&quot;£&quot;* &quot;-&quot;??_-;_-@_-" sourceLinked="1"/>
        <c:majorTickMark val="out"/>
        <c:minorTickMark val="none"/>
        <c:tickLblPos val="nextTo"/>
        <c:crossAx val="4698216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Distribution of Lead Time Demand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Lead Time Demand</a:t>
          </a:r>
        </a:p>
      </cx:txPr>
    </cx:title>
    <cx:plotArea>
      <cx:plotAreaRegion>
        <cx:series layoutId="clusteredColumn" uniqueId="{D4CFCCF5-DC44-4B97-8709-B7A932BA5609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27893</xdr:colOff>
      <xdr:row>6</xdr:row>
      <xdr:rowOff>97630</xdr:rowOff>
    </xdr:from>
    <xdr:to>
      <xdr:col>20</xdr:col>
      <xdr:colOff>70757</xdr:colOff>
      <xdr:row>24</xdr:row>
      <xdr:rowOff>160019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22C0FD-B11D-C37D-0A35-101F573AB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238894</xdr:colOff>
      <xdr:row>17</xdr:row>
      <xdr:rowOff>15076</xdr:rowOff>
    </xdr:from>
    <xdr:to>
      <xdr:col>21</xdr:col>
      <xdr:colOff>535671</xdr:colOff>
      <xdr:row>32</xdr:row>
      <xdr:rowOff>15076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CEE4CBC-DB86-439D-BBAC-24C223D9C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226135</xdr:colOff>
      <xdr:row>32</xdr:row>
      <xdr:rowOff>127298</xdr:rowOff>
    </xdr:from>
    <xdr:to>
      <xdr:col>22</xdr:col>
      <xdr:colOff>258097</xdr:colOff>
      <xdr:row>47</xdr:row>
      <xdr:rowOff>127298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92C75066-0BB2-4EC0-A4EA-FA7697F1C5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200808</xdr:colOff>
      <xdr:row>48</xdr:row>
      <xdr:rowOff>5378</xdr:rowOff>
    </xdr:from>
    <xdr:to>
      <xdr:col>23</xdr:col>
      <xdr:colOff>141514</xdr:colOff>
      <xdr:row>63</xdr:row>
      <xdr:rowOff>5379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74E0A9B4-64D5-42A6-ADB5-2B61C6D18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191845</xdr:colOff>
      <xdr:row>63</xdr:row>
      <xdr:rowOff>113404</xdr:rowOff>
    </xdr:from>
    <xdr:to>
      <xdr:col>23</xdr:col>
      <xdr:colOff>141514</xdr:colOff>
      <xdr:row>78</xdr:row>
      <xdr:rowOff>113403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A8CF867E-A01E-47AF-927B-07A78641B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89648</xdr:colOff>
      <xdr:row>3</xdr:row>
      <xdr:rowOff>107576</xdr:rowOff>
    </xdr:from>
    <xdr:to>
      <xdr:col>4</xdr:col>
      <xdr:colOff>170329</xdr:colOff>
      <xdr:row>6</xdr:row>
      <xdr:rowOff>134470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9CFA8B50-205C-4273-B665-470E4C510114}"/>
            </a:ext>
          </a:extLst>
        </xdr:cNvPr>
        <xdr:cNvSpPr/>
      </xdr:nvSpPr>
      <xdr:spPr>
        <a:xfrm>
          <a:off x="3334872" y="932329"/>
          <a:ext cx="80681" cy="573741"/>
        </a:xfrm>
        <a:prstGeom prst="rightBrace">
          <a:avLst>
            <a:gd name="adj1" fmla="val 18333"/>
            <a:gd name="adj2" fmla="val 5000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22</xdr:col>
      <xdr:colOff>406794</xdr:colOff>
      <xdr:row>11</xdr:row>
      <xdr:rowOff>57955</xdr:rowOff>
    </xdr:from>
    <xdr:to>
      <xdr:col>23</xdr:col>
      <xdr:colOff>352285</xdr:colOff>
      <xdr:row>13</xdr:row>
      <xdr:rowOff>78947</xdr:rowOff>
    </xdr:to>
    <xdr:sp macro="" textlink="">
      <xdr:nvSpPr>
        <xdr:cNvPr id="12" name="Down Arrow 1">
          <a:extLst>
            <a:ext uri="{FF2B5EF4-FFF2-40B4-BE49-F238E27FC236}">
              <a16:creationId xmlns:a16="http://schemas.microsoft.com/office/drawing/2014/main" id="{4356CA74-EDC4-464D-8024-3FA442A5961F}"/>
            </a:ext>
          </a:extLst>
        </xdr:cNvPr>
        <xdr:cNvSpPr/>
      </xdr:nvSpPr>
      <xdr:spPr>
        <a:xfrm rot="16200000">
          <a:off x="12171078" y="2260682"/>
          <a:ext cx="388545" cy="537162"/>
        </a:xfrm>
        <a:prstGeom prst="downArrow">
          <a:avLst>
            <a:gd name="adj1" fmla="val 40000"/>
            <a:gd name="adj2" fmla="val 10942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26</xdr:col>
      <xdr:colOff>335079</xdr:colOff>
      <xdr:row>11</xdr:row>
      <xdr:rowOff>22096</xdr:rowOff>
    </xdr:from>
    <xdr:to>
      <xdr:col>27</xdr:col>
      <xdr:colOff>280570</xdr:colOff>
      <xdr:row>13</xdr:row>
      <xdr:rowOff>43088</xdr:rowOff>
    </xdr:to>
    <xdr:sp macro="" textlink="">
      <xdr:nvSpPr>
        <xdr:cNvPr id="15" name="Down Arrow 1">
          <a:extLst>
            <a:ext uri="{FF2B5EF4-FFF2-40B4-BE49-F238E27FC236}">
              <a16:creationId xmlns:a16="http://schemas.microsoft.com/office/drawing/2014/main" id="{B7B56946-C4F7-4238-BA16-A6C15F2298B8}"/>
            </a:ext>
          </a:extLst>
        </xdr:cNvPr>
        <xdr:cNvSpPr/>
      </xdr:nvSpPr>
      <xdr:spPr>
        <a:xfrm rot="16200000">
          <a:off x="14752916" y="2224823"/>
          <a:ext cx="388545" cy="537162"/>
        </a:xfrm>
        <a:prstGeom prst="downArrow">
          <a:avLst>
            <a:gd name="adj1" fmla="val 40000"/>
            <a:gd name="adj2" fmla="val 10942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22</xdr:col>
      <xdr:colOff>575952</xdr:colOff>
      <xdr:row>16</xdr:row>
      <xdr:rowOff>158336</xdr:rowOff>
    </xdr:from>
    <xdr:to>
      <xdr:col>35</xdr:col>
      <xdr:colOff>13853</xdr:colOff>
      <xdr:row>38</xdr:row>
      <xdr:rowOff>83126</xdr:rowOff>
    </xdr:to>
    <xdr:graphicFrame macro="">
      <xdr:nvGraphicFramePr>
        <xdr:cNvPr id="16" name="Chart 6">
          <a:extLst>
            <a:ext uri="{FF2B5EF4-FFF2-40B4-BE49-F238E27FC236}">
              <a16:creationId xmlns:a16="http://schemas.microsoft.com/office/drawing/2014/main" id="{27D6724E-09BF-4078-800C-EEDF4EE05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288209</xdr:colOff>
      <xdr:row>37</xdr:row>
      <xdr:rowOff>124737</xdr:rowOff>
    </xdr:from>
    <xdr:to>
      <xdr:col>25</xdr:col>
      <xdr:colOff>881743</xdr:colOff>
      <xdr:row>58</xdr:row>
      <xdr:rowOff>15831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BCB11-2B1A-49F6-9BFB-9E468981C0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10885</xdr:colOff>
      <xdr:row>37</xdr:row>
      <xdr:rowOff>141514</xdr:rowOff>
    </xdr:from>
    <xdr:to>
      <xdr:col>36</xdr:col>
      <xdr:colOff>457200</xdr:colOff>
      <xdr:row>57</xdr:row>
      <xdr:rowOff>174172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1488EF-8F6D-4210-8B6C-C76F71470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2472</xdr:colOff>
      <xdr:row>37</xdr:row>
      <xdr:rowOff>156606</xdr:rowOff>
    </xdr:from>
    <xdr:to>
      <xdr:col>49</xdr:col>
      <xdr:colOff>274863</xdr:colOff>
      <xdr:row>58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26809F-906F-4AE5-BE86-51C54FF463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574</xdr:colOff>
      <xdr:row>23</xdr:row>
      <xdr:rowOff>13069</xdr:rowOff>
    </xdr:from>
    <xdr:to>
      <xdr:col>54</xdr:col>
      <xdr:colOff>305374</xdr:colOff>
      <xdr:row>36</xdr:row>
      <xdr:rowOff>4104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9738BB-38E8-E45F-F5F0-6B312E549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314660</xdr:colOff>
      <xdr:row>0</xdr:row>
      <xdr:rowOff>0</xdr:rowOff>
    </xdr:from>
    <xdr:to>
      <xdr:col>18</xdr:col>
      <xdr:colOff>388619</xdr:colOff>
      <xdr:row>16</xdr:row>
      <xdr:rowOff>114300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02C883F-1F11-4943-BE45-388A07385ADD}"/>
            </a:ext>
          </a:extLst>
        </xdr:cNvPr>
        <xdr:cNvGrpSpPr/>
      </xdr:nvGrpSpPr>
      <xdr:grpSpPr>
        <a:xfrm>
          <a:off x="7467935" y="0"/>
          <a:ext cx="5007909" cy="3114675"/>
          <a:chOff x="7271721" y="1021080"/>
          <a:chExt cx="4948518" cy="3017520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4A9ADE2A-B357-0E89-61D7-90125BA54872}"/>
              </a:ext>
            </a:extLst>
          </xdr:cNvPr>
          <xdr:cNvGrpSpPr/>
        </xdr:nvGrpSpPr>
        <xdr:grpSpPr>
          <a:xfrm>
            <a:off x="7271720" y="1021080"/>
            <a:ext cx="4950759" cy="3093720"/>
            <a:chOff x="3019760" y="2270760"/>
            <a:chExt cx="4950759" cy="3093720"/>
          </a:xfrm>
        </xdr:grpSpPr>
        <xdr:pic>
          <xdr:nvPicPr>
            <xdr:cNvPr id="10" name="object 8">
              <a:extLst>
                <a:ext uri="{FF2B5EF4-FFF2-40B4-BE49-F238E27FC236}">
                  <a16:creationId xmlns:a16="http://schemas.microsoft.com/office/drawing/2014/main" id="{36442F74-EF83-76C9-BBDD-1AD109ED25C6}"/>
                </a:ext>
              </a:extLst>
            </xdr:cNvPr>
            <xdr:cNvPicPr/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3019760" y="2270760"/>
              <a:ext cx="4950759" cy="3093720"/>
            </a:xfrm>
            <a:prstGeom prst="rect">
              <a:avLst/>
            </a:prstGeom>
          </xdr:spPr>
        </xdr:pic>
        <xdr:sp macro="" textlink="">
          <xdr:nvSpPr>
            <xdr:cNvPr id="11" name="object 9">
              <a:extLst>
                <a:ext uri="{FF2B5EF4-FFF2-40B4-BE49-F238E27FC236}">
                  <a16:creationId xmlns:a16="http://schemas.microsoft.com/office/drawing/2014/main" id="{33DA01E3-983D-81D3-42FA-C21A993BE045}"/>
                </a:ext>
              </a:extLst>
            </xdr:cNvPr>
            <xdr:cNvSpPr/>
          </xdr:nvSpPr>
          <xdr:spPr>
            <a:xfrm>
              <a:off x="3032760" y="2304870"/>
              <a:ext cx="4899660" cy="2983410"/>
            </a:xfrm>
            <a:custGeom>
              <a:avLst/>
              <a:gdLst/>
              <a:ahLst/>
              <a:cxnLst/>
              <a:rect l="l" t="t" r="r" b="b"/>
              <a:pathLst>
                <a:path w="8283575" h="2838450">
                  <a:moveTo>
                    <a:pt x="8283573" y="0"/>
                  </a:moveTo>
                  <a:lnTo>
                    <a:pt x="0" y="0"/>
                  </a:lnTo>
                  <a:lnTo>
                    <a:pt x="0" y="2838450"/>
                  </a:lnTo>
                  <a:lnTo>
                    <a:pt x="8283573" y="2838450"/>
                  </a:lnTo>
                  <a:lnTo>
                    <a:pt x="8283573" y="0"/>
                  </a:lnTo>
                  <a:close/>
                </a:path>
              </a:pathLst>
            </a:custGeom>
            <a:solidFill>
              <a:srgbClr val="919191"/>
            </a:solidFill>
          </xdr:spPr>
          <xdr:txBody>
            <a:bodyPr wrap="square" lIns="0" tIns="0" rIns="0" bIns="0" rtlCol="0"/>
            <a:lstStyle>
              <a:defPPr>
                <a:defRPr kern="0"/>
              </a:defPPr>
            </a:lstStyle>
            <a:p>
              <a:endParaRPr/>
            </a:p>
          </xdr:txBody>
        </xdr:sp>
        <xdr:sp macro="" textlink="">
          <xdr:nvSpPr>
            <xdr:cNvPr id="12" name="object 10">
              <a:extLst>
                <a:ext uri="{FF2B5EF4-FFF2-40B4-BE49-F238E27FC236}">
                  <a16:creationId xmlns:a16="http://schemas.microsoft.com/office/drawing/2014/main" id="{D6D7B7AD-7EF9-6630-60B4-D88A2CCB1A05}"/>
                </a:ext>
              </a:extLst>
            </xdr:cNvPr>
            <xdr:cNvSpPr/>
          </xdr:nvSpPr>
          <xdr:spPr>
            <a:xfrm>
              <a:off x="3032761" y="2297250"/>
              <a:ext cx="4894730" cy="2983410"/>
            </a:xfrm>
            <a:custGeom>
              <a:avLst/>
              <a:gdLst/>
              <a:ahLst/>
              <a:cxnLst/>
              <a:rect l="l" t="t" r="r" b="b"/>
              <a:pathLst>
                <a:path w="8283575" h="2838450">
                  <a:moveTo>
                    <a:pt x="0" y="0"/>
                  </a:moveTo>
                  <a:lnTo>
                    <a:pt x="8283571" y="0"/>
                  </a:lnTo>
                  <a:lnTo>
                    <a:pt x="8283571" y="2838449"/>
                  </a:lnTo>
                  <a:lnTo>
                    <a:pt x="0" y="2838449"/>
                  </a:lnTo>
                  <a:lnTo>
                    <a:pt x="0" y="0"/>
                  </a:lnTo>
                  <a:close/>
                </a:path>
              </a:pathLst>
            </a:custGeom>
            <a:ln w="9524">
              <a:solidFill>
                <a:srgbClr val="6C6C6C"/>
              </a:solidFill>
            </a:ln>
          </xdr:spPr>
          <xdr:txBody>
            <a:bodyPr wrap="square" lIns="0" tIns="0" rIns="0" bIns="0" rtlCol="0"/>
            <a:lstStyle>
              <a:defPPr>
                <a:defRPr kern="0"/>
              </a:defPPr>
            </a:lstStyle>
            <a:p>
              <a:endParaRPr/>
            </a:p>
          </xdr:txBody>
        </xdr:sp>
      </xdr:grp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D2336654-9F47-40EA-879A-D63EDF9F590D}"/>
              </a:ext>
            </a:extLst>
          </xdr:cNvPr>
          <xdr:cNvGrpSpPr/>
        </xdr:nvGrpSpPr>
        <xdr:grpSpPr>
          <a:xfrm>
            <a:off x="7435215" y="1586481"/>
            <a:ext cx="4621530" cy="1983518"/>
            <a:chOff x="8882203" y="870201"/>
            <a:chExt cx="4621530" cy="1983518"/>
          </a:xfrm>
        </xdr:grpSpPr>
        <xdr:sp macro="" textlink="">
          <xdr:nvSpPr>
            <xdr:cNvPr id="5" name="object 13">
              <a:extLst>
                <a:ext uri="{FF2B5EF4-FFF2-40B4-BE49-F238E27FC236}">
                  <a16:creationId xmlns:a16="http://schemas.microsoft.com/office/drawing/2014/main" id="{B9723479-541D-8455-F698-8623C3D1729E}"/>
                </a:ext>
              </a:extLst>
            </xdr:cNvPr>
            <xdr:cNvSpPr/>
          </xdr:nvSpPr>
          <xdr:spPr>
            <a:xfrm>
              <a:off x="9217765" y="870201"/>
              <a:ext cx="3963035" cy="1861949"/>
            </a:xfrm>
            <a:custGeom>
              <a:avLst/>
              <a:gdLst/>
              <a:ahLst/>
              <a:cxnLst/>
              <a:rect l="l" t="t" r="r" b="b"/>
              <a:pathLst>
                <a:path w="3963034" h="1862454">
                  <a:moveTo>
                    <a:pt x="2013368" y="0"/>
                  </a:moveTo>
                  <a:lnTo>
                    <a:pt x="1975018" y="7937"/>
                  </a:lnTo>
                  <a:lnTo>
                    <a:pt x="1931874" y="19050"/>
                  </a:lnTo>
                  <a:lnTo>
                    <a:pt x="1883937" y="42862"/>
                  </a:lnTo>
                  <a:lnTo>
                    <a:pt x="1845587" y="71437"/>
                  </a:lnTo>
                  <a:lnTo>
                    <a:pt x="1808835" y="104775"/>
                  </a:lnTo>
                  <a:lnTo>
                    <a:pt x="1780073" y="134937"/>
                  </a:lnTo>
                  <a:lnTo>
                    <a:pt x="1756104" y="168275"/>
                  </a:lnTo>
                  <a:lnTo>
                    <a:pt x="1728940" y="207962"/>
                  </a:lnTo>
                  <a:lnTo>
                    <a:pt x="1684198" y="277812"/>
                  </a:lnTo>
                  <a:lnTo>
                    <a:pt x="1661827" y="312737"/>
                  </a:lnTo>
                  <a:lnTo>
                    <a:pt x="1636260" y="354012"/>
                  </a:lnTo>
                  <a:lnTo>
                    <a:pt x="1621879" y="380999"/>
                  </a:lnTo>
                  <a:lnTo>
                    <a:pt x="1602704" y="415924"/>
                  </a:lnTo>
                  <a:lnTo>
                    <a:pt x="1588323" y="447674"/>
                  </a:lnTo>
                  <a:lnTo>
                    <a:pt x="1572344" y="476249"/>
                  </a:lnTo>
                  <a:lnTo>
                    <a:pt x="1557963" y="507999"/>
                  </a:lnTo>
                  <a:lnTo>
                    <a:pt x="1540386" y="546099"/>
                  </a:lnTo>
                  <a:lnTo>
                    <a:pt x="1519613" y="592137"/>
                  </a:lnTo>
                  <a:lnTo>
                    <a:pt x="1503634" y="627062"/>
                  </a:lnTo>
                  <a:lnTo>
                    <a:pt x="1490851" y="654049"/>
                  </a:lnTo>
                  <a:lnTo>
                    <a:pt x="1471676" y="693737"/>
                  </a:lnTo>
                  <a:lnTo>
                    <a:pt x="1454099" y="733424"/>
                  </a:lnTo>
                  <a:lnTo>
                    <a:pt x="1441315" y="760412"/>
                  </a:lnTo>
                  <a:lnTo>
                    <a:pt x="1422140" y="803274"/>
                  </a:lnTo>
                  <a:lnTo>
                    <a:pt x="1407759" y="838199"/>
                  </a:lnTo>
                  <a:lnTo>
                    <a:pt x="1394976" y="871537"/>
                  </a:lnTo>
                  <a:lnTo>
                    <a:pt x="1382193" y="904874"/>
                  </a:lnTo>
                  <a:lnTo>
                    <a:pt x="1367812" y="938212"/>
                  </a:lnTo>
                  <a:lnTo>
                    <a:pt x="1355028" y="971549"/>
                  </a:lnTo>
                  <a:lnTo>
                    <a:pt x="1340647" y="1004887"/>
                  </a:lnTo>
                  <a:lnTo>
                    <a:pt x="1319874" y="1052512"/>
                  </a:lnTo>
                  <a:lnTo>
                    <a:pt x="1300699" y="1095374"/>
                  </a:lnTo>
                  <a:lnTo>
                    <a:pt x="1286318" y="1123949"/>
                  </a:lnTo>
                  <a:lnTo>
                    <a:pt x="1271937" y="1154112"/>
                  </a:lnTo>
                  <a:lnTo>
                    <a:pt x="1243174" y="1214437"/>
                  </a:lnTo>
                  <a:lnTo>
                    <a:pt x="1222401" y="1254124"/>
                  </a:lnTo>
                  <a:lnTo>
                    <a:pt x="1200031" y="1292224"/>
                  </a:lnTo>
                  <a:lnTo>
                    <a:pt x="1174464" y="1330324"/>
                  </a:lnTo>
                  <a:lnTo>
                    <a:pt x="1145702" y="1368425"/>
                  </a:lnTo>
                  <a:lnTo>
                    <a:pt x="1116939" y="1404937"/>
                  </a:lnTo>
                  <a:lnTo>
                    <a:pt x="1081785" y="1439862"/>
                  </a:lnTo>
                  <a:lnTo>
                    <a:pt x="1043435" y="1479549"/>
                  </a:lnTo>
                  <a:lnTo>
                    <a:pt x="984313" y="1528762"/>
                  </a:lnTo>
                  <a:lnTo>
                    <a:pt x="945963" y="1557337"/>
                  </a:lnTo>
                  <a:lnTo>
                    <a:pt x="872459" y="1601787"/>
                  </a:lnTo>
                  <a:lnTo>
                    <a:pt x="808542" y="1636712"/>
                  </a:lnTo>
                  <a:lnTo>
                    <a:pt x="754214" y="1658937"/>
                  </a:lnTo>
                  <a:lnTo>
                    <a:pt x="712668" y="1673224"/>
                  </a:lnTo>
                  <a:lnTo>
                    <a:pt x="675916" y="1687512"/>
                  </a:lnTo>
                  <a:lnTo>
                    <a:pt x="627979" y="1703387"/>
                  </a:lnTo>
                  <a:lnTo>
                    <a:pt x="580041" y="1717674"/>
                  </a:lnTo>
                  <a:lnTo>
                    <a:pt x="532104" y="1728787"/>
                  </a:lnTo>
                  <a:lnTo>
                    <a:pt x="495352" y="1738312"/>
                  </a:lnTo>
                  <a:lnTo>
                    <a:pt x="450611" y="1749424"/>
                  </a:lnTo>
                  <a:lnTo>
                    <a:pt x="412261" y="1758949"/>
                  </a:lnTo>
                  <a:lnTo>
                    <a:pt x="361127" y="1770062"/>
                  </a:lnTo>
                  <a:lnTo>
                    <a:pt x="292417" y="1782762"/>
                  </a:lnTo>
                  <a:lnTo>
                    <a:pt x="247676" y="1792287"/>
                  </a:lnTo>
                  <a:lnTo>
                    <a:pt x="207728" y="1800224"/>
                  </a:lnTo>
                  <a:lnTo>
                    <a:pt x="174172" y="1804987"/>
                  </a:lnTo>
                  <a:lnTo>
                    <a:pt x="86287" y="1819274"/>
                  </a:lnTo>
                  <a:lnTo>
                    <a:pt x="4793" y="1838324"/>
                  </a:lnTo>
                  <a:lnTo>
                    <a:pt x="0" y="1862137"/>
                  </a:lnTo>
                  <a:lnTo>
                    <a:pt x="3962820" y="1857374"/>
                  </a:lnTo>
                  <a:lnTo>
                    <a:pt x="3921275" y="1843087"/>
                  </a:lnTo>
                  <a:lnTo>
                    <a:pt x="3878131" y="1828799"/>
                  </a:lnTo>
                  <a:lnTo>
                    <a:pt x="3826997" y="1814512"/>
                  </a:lnTo>
                  <a:lnTo>
                    <a:pt x="3772669" y="1806574"/>
                  </a:lnTo>
                  <a:lnTo>
                    <a:pt x="3707154" y="1792287"/>
                  </a:lnTo>
                  <a:lnTo>
                    <a:pt x="3740711" y="1797049"/>
                  </a:lnTo>
                  <a:lnTo>
                    <a:pt x="3667207" y="1782762"/>
                  </a:lnTo>
                  <a:lnTo>
                    <a:pt x="3624063" y="1771649"/>
                  </a:lnTo>
                  <a:lnTo>
                    <a:pt x="3553755" y="1752599"/>
                  </a:lnTo>
                  <a:lnTo>
                    <a:pt x="3489838" y="1733549"/>
                  </a:lnTo>
                  <a:lnTo>
                    <a:pt x="3435509" y="1716087"/>
                  </a:lnTo>
                  <a:lnTo>
                    <a:pt x="3384376" y="1700212"/>
                  </a:lnTo>
                  <a:lnTo>
                    <a:pt x="3326851" y="1681162"/>
                  </a:lnTo>
                  <a:lnTo>
                    <a:pt x="3277316" y="1662112"/>
                  </a:lnTo>
                  <a:lnTo>
                    <a:pt x="3213399" y="1633537"/>
                  </a:lnTo>
                  <a:lnTo>
                    <a:pt x="3186235" y="1619249"/>
                  </a:lnTo>
                  <a:lnTo>
                    <a:pt x="3184637" y="1619249"/>
                  </a:lnTo>
                  <a:lnTo>
                    <a:pt x="3163864" y="1608137"/>
                  </a:lnTo>
                  <a:lnTo>
                    <a:pt x="3125514" y="1589087"/>
                  </a:lnTo>
                  <a:lnTo>
                    <a:pt x="3093556" y="1565274"/>
                  </a:lnTo>
                  <a:lnTo>
                    <a:pt x="3058402" y="1538287"/>
                  </a:lnTo>
                  <a:lnTo>
                    <a:pt x="3004073" y="1489074"/>
                  </a:lnTo>
                  <a:lnTo>
                    <a:pt x="2970517" y="1452562"/>
                  </a:lnTo>
                  <a:lnTo>
                    <a:pt x="2936961" y="1414462"/>
                  </a:lnTo>
                  <a:lnTo>
                    <a:pt x="2908198" y="1377949"/>
                  </a:lnTo>
                  <a:lnTo>
                    <a:pt x="2877838" y="1341437"/>
                  </a:lnTo>
                  <a:lnTo>
                    <a:pt x="2857065" y="1309687"/>
                  </a:lnTo>
                  <a:lnTo>
                    <a:pt x="2837890" y="1284287"/>
                  </a:lnTo>
                  <a:lnTo>
                    <a:pt x="2820313" y="1257299"/>
                  </a:lnTo>
                  <a:lnTo>
                    <a:pt x="2802736" y="1225549"/>
                  </a:lnTo>
                  <a:lnTo>
                    <a:pt x="2786757" y="1192212"/>
                  </a:lnTo>
                  <a:lnTo>
                    <a:pt x="2772376" y="1157287"/>
                  </a:lnTo>
                  <a:lnTo>
                    <a:pt x="2756397" y="1122362"/>
                  </a:lnTo>
                  <a:lnTo>
                    <a:pt x="2745211" y="1098549"/>
                  </a:lnTo>
                  <a:lnTo>
                    <a:pt x="2732428" y="1069974"/>
                  </a:lnTo>
                  <a:lnTo>
                    <a:pt x="2721243" y="1042987"/>
                  </a:lnTo>
                  <a:lnTo>
                    <a:pt x="2708459" y="1017587"/>
                  </a:lnTo>
                  <a:lnTo>
                    <a:pt x="2694078" y="982662"/>
                  </a:lnTo>
                  <a:lnTo>
                    <a:pt x="2678099" y="949324"/>
                  </a:lnTo>
                  <a:lnTo>
                    <a:pt x="2657326" y="901699"/>
                  </a:lnTo>
                  <a:lnTo>
                    <a:pt x="2638151" y="866774"/>
                  </a:lnTo>
                  <a:lnTo>
                    <a:pt x="2618976" y="828674"/>
                  </a:lnTo>
                  <a:lnTo>
                    <a:pt x="2599801" y="788987"/>
                  </a:lnTo>
                  <a:lnTo>
                    <a:pt x="2585420" y="755649"/>
                  </a:lnTo>
                  <a:lnTo>
                    <a:pt x="2567843" y="717549"/>
                  </a:lnTo>
                  <a:lnTo>
                    <a:pt x="2551864" y="682624"/>
                  </a:lnTo>
                  <a:lnTo>
                    <a:pt x="2524699" y="630237"/>
                  </a:lnTo>
                  <a:lnTo>
                    <a:pt x="2502329" y="581024"/>
                  </a:lnTo>
                  <a:lnTo>
                    <a:pt x="2481556" y="539749"/>
                  </a:lnTo>
                  <a:lnTo>
                    <a:pt x="2465577" y="511174"/>
                  </a:lnTo>
                  <a:lnTo>
                    <a:pt x="2446402" y="473074"/>
                  </a:lnTo>
                  <a:lnTo>
                    <a:pt x="2424031" y="430212"/>
                  </a:lnTo>
                  <a:lnTo>
                    <a:pt x="2406454" y="398462"/>
                  </a:lnTo>
                  <a:lnTo>
                    <a:pt x="2392073" y="374649"/>
                  </a:lnTo>
                  <a:lnTo>
                    <a:pt x="2380887" y="354012"/>
                  </a:lnTo>
                  <a:lnTo>
                    <a:pt x="2363310" y="322262"/>
                  </a:lnTo>
                  <a:lnTo>
                    <a:pt x="2345733" y="290512"/>
                  </a:lnTo>
                  <a:lnTo>
                    <a:pt x="2331352" y="265112"/>
                  </a:lnTo>
                  <a:lnTo>
                    <a:pt x="2315373" y="238124"/>
                  </a:lnTo>
                  <a:lnTo>
                    <a:pt x="2297796" y="214312"/>
                  </a:lnTo>
                  <a:lnTo>
                    <a:pt x="2283415" y="198437"/>
                  </a:lnTo>
                  <a:lnTo>
                    <a:pt x="2273827" y="180974"/>
                  </a:lnTo>
                  <a:lnTo>
                    <a:pt x="2264240" y="169862"/>
                  </a:lnTo>
                  <a:lnTo>
                    <a:pt x="2254653" y="157162"/>
                  </a:lnTo>
                  <a:lnTo>
                    <a:pt x="2248261" y="150812"/>
                  </a:lnTo>
                  <a:lnTo>
                    <a:pt x="2235477" y="136525"/>
                  </a:lnTo>
                  <a:lnTo>
                    <a:pt x="2219499" y="117475"/>
                  </a:lnTo>
                  <a:lnTo>
                    <a:pt x="2201921" y="98424"/>
                  </a:lnTo>
                  <a:lnTo>
                    <a:pt x="2182747" y="79374"/>
                  </a:lnTo>
                  <a:lnTo>
                    <a:pt x="2163571" y="61912"/>
                  </a:lnTo>
                  <a:lnTo>
                    <a:pt x="2142799" y="47624"/>
                  </a:lnTo>
                  <a:lnTo>
                    <a:pt x="2120428" y="30162"/>
                  </a:lnTo>
                  <a:lnTo>
                    <a:pt x="2086872" y="17462"/>
                  </a:lnTo>
                  <a:lnTo>
                    <a:pt x="2054913" y="6349"/>
                  </a:lnTo>
                  <a:lnTo>
                    <a:pt x="2014966" y="0"/>
                  </a:lnTo>
                </a:path>
              </a:pathLst>
            </a:custGeom>
            <a:ln w="12699">
              <a:solidFill>
                <a:srgbClr val="000000"/>
              </a:solidFill>
            </a:ln>
          </xdr:spPr>
          <xdr:txBody>
            <a:bodyPr wrap="square" lIns="0" tIns="0" rIns="0" bIns="0" rtlCol="0"/>
            <a:lstStyle>
              <a:defPPr>
                <a:defRPr kern="0"/>
              </a:defPPr>
            </a:lstStyle>
            <a:p>
              <a:endParaRPr/>
            </a:p>
          </xdr:txBody>
        </xdr:sp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6A5E8283-8BE2-29B6-465D-C678A1135076}"/>
                </a:ext>
              </a:extLst>
            </xdr:cNvPr>
            <xdr:cNvGrpSpPr/>
          </xdr:nvGrpSpPr>
          <xdr:grpSpPr>
            <a:xfrm>
              <a:off x="8882203" y="870201"/>
              <a:ext cx="4621530" cy="1983518"/>
              <a:chOff x="8880546" y="880471"/>
              <a:chExt cx="4621530" cy="2012673"/>
            </a:xfrm>
          </xdr:grpSpPr>
          <xdr:sp macro="" textlink="">
            <xdr:nvSpPr>
              <xdr:cNvPr id="7" name="object 11">
                <a:extLst>
                  <a:ext uri="{FF2B5EF4-FFF2-40B4-BE49-F238E27FC236}">
                    <a16:creationId xmlns:a16="http://schemas.microsoft.com/office/drawing/2014/main" id="{A5B987BE-5B29-38B5-24ED-2AED8153E398}"/>
                  </a:ext>
                </a:extLst>
              </xdr:cNvPr>
              <xdr:cNvSpPr/>
            </xdr:nvSpPr>
            <xdr:spPr>
              <a:xfrm>
                <a:off x="8880546" y="2763945"/>
                <a:ext cx="4621530" cy="0"/>
              </a:xfrm>
              <a:custGeom>
                <a:avLst/>
                <a:gdLst/>
                <a:ahLst/>
                <a:cxnLst/>
                <a:rect l="l" t="t" r="r" b="b"/>
                <a:pathLst>
                  <a:path w="4621530">
                    <a:moveTo>
                      <a:pt x="0" y="0"/>
                    </a:moveTo>
                    <a:lnTo>
                      <a:pt x="4621160" y="0"/>
                    </a:lnTo>
                  </a:path>
                </a:pathLst>
              </a:custGeom>
              <a:ln w="19049">
                <a:solidFill>
                  <a:srgbClr val="000000"/>
                </a:solidFill>
              </a:ln>
            </xdr:spPr>
            <xdr:txBody>
              <a:bodyPr wrap="square" lIns="0" tIns="0" rIns="0" bIns="0" rtlCol="0"/>
              <a:lstStyle>
                <a:defPPr>
                  <a:defRPr kern="0"/>
                </a:defPPr>
              </a:lstStyle>
              <a:p>
                <a:endParaRPr/>
              </a:p>
            </xdr:txBody>
          </xdr:sp>
          <xdr:sp macro="" textlink="">
            <xdr:nvSpPr>
              <xdr:cNvPr id="8" name="object 12">
                <a:extLst>
                  <a:ext uri="{FF2B5EF4-FFF2-40B4-BE49-F238E27FC236}">
                    <a16:creationId xmlns:a16="http://schemas.microsoft.com/office/drawing/2014/main" id="{7ED40838-70F7-9E29-E77A-4241FAAAAC03}"/>
                  </a:ext>
                </a:extLst>
              </xdr:cNvPr>
              <xdr:cNvSpPr/>
            </xdr:nvSpPr>
            <xdr:spPr>
              <a:xfrm>
                <a:off x="9216108" y="880471"/>
                <a:ext cx="3963035" cy="1888454"/>
              </a:xfrm>
              <a:custGeom>
                <a:avLst/>
                <a:gdLst/>
                <a:ahLst/>
                <a:cxnLst/>
                <a:rect l="l" t="t" r="r" b="b"/>
                <a:pathLst>
                  <a:path w="3963034" h="1862454">
                    <a:moveTo>
                      <a:pt x="2014966" y="0"/>
                    </a:moveTo>
                    <a:lnTo>
                      <a:pt x="2013369" y="0"/>
                    </a:lnTo>
                    <a:lnTo>
                      <a:pt x="1975018" y="7937"/>
                    </a:lnTo>
                    <a:lnTo>
                      <a:pt x="1931875" y="19050"/>
                    </a:lnTo>
                    <a:lnTo>
                      <a:pt x="1883938" y="42862"/>
                    </a:lnTo>
                    <a:lnTo>
                      <a:pt x="1845588" y="71437"/>
                    </a:lnTo>
                    <a:lnTo>
                      <a:pt x="1808835" y="104775"/>
                    </a:lnTo>
                    <a:lnTo>
                      <a:pt x="1780073" y="134937"/>
                    </a:lnTo>
                    <a:lnTo>
                      <a:pt x="1756105" y="168275"/>
                    </a:lnTo>
                    <a:lnTo>
                      <a:pt x="1728941" y="207962"/>
                    </a:lnTo>
                    <a:lnTo>
                      <a:pt x="1684199" y="277812"/>
                    </a:lnTo>
                    <a:lnTo>
                      <a:pt x="1661828" y="312737"/>
                    </a:lnTo>
                    <a:lnTo>
                      <a:pt x="1636261" y="354012"/>
                    </a:lnTo>
                    <a:lnTo>
                      <a:pt x="1621880" y="381000"/>
                    </a:lnTo>
                    <a:lnTo>
                      <a:pt x="1602705" y="415925"/>
                    </a:lnTo>
                    <a:lnTo>
                      <a:pt x="1588324" y="447675"/>
                    </a:lnTo>
                    <a:lnTo>
                      <a:pt x="1572345" y="476250"/>
                    </a:lnTo>
                    <a:lnTo>
                      <a:pt x="1557963" y="508000"/>
                    </a:lnTo>
                    <a:lnTo>
                      <a:pt x="1540386" y="546100"/>
                    </a:lnTo>
                    <a:lnTo>
                      <a:pt x="1503635" y="627062"/>
                    </a:lnTo>
                    <a:lnTo>
                      <a:pt x="1490851" y="654050"/>
                    </a:lnTo>
                    <a:lnTo>
                      <a:pt x="1471677" y="693737"/>
                    </a:lnTo>
                    <a:lnTo>
                      <a:pt x="1454099" y="733425"/>
                    </a:lnTo>
                    <a:lnTo>
                      <a:pt x="1441316" y="760412"/>
                    </a:lnTo>
                    <a:lnTo>
                      <a:pt x="1422140" y="803275"/>
                    </a:lnTo>
                    <a:lnTo>
                      <a:pt x="1407760" y="838200"/>
                    </a:lnTo>
                    <a:lnTo>
                      <a:pt x="1382193" y="904875"/>
                    </a:lnTo>
                    <a:lnTo>
                      <a:pt x="1367812" y="938212"/>
                    </a:lnTo>
                    <a:lnTo>
                      <a:pt x="1355029" y="971550"/>
                    </a:lnTo>
                    <a:lnTo>
                      <a:pt x="1319875" y="1052512"/>
                    </a:lnTo>
                    <a:lnTo>
                      <a:pt x="1300699" y="1095375"/>
                    </a:lnTo>
                    <a:lnTo>
                      <a:pt x="1286319" y="1123950"/>
                    </a:lnTo>
                    <a:lnTo>
                      <a:pt x="1271938" y="1154112"/>
                    </a:lnTo>
                    <a:lnTo>
                      <a:pt x="1243175" y="1214437"/>
                    </a:lnTo>
                    <a:lnTo>
                      <a:pt x="1222402" y="1254125"/>
                    </a:lnTo>
                    <a:lnTo>
                      <a:pt x="1200031" y="1292225"/>
                    </a:lnTo>
                    <a:lnTo>
                      <a:pt x="1174465" y="1330325"/>
                    </a:lnTo>
                    <a:lnTo>
                      <a:pt x="1145702" y="1368425"/>
                    </a:lnTo>
                    <a:lnTo>
                      <a:pt x="1116940" y="1404937"/>
                    </a:lnTo>
                    <a:lnTo>
                      <a:pt x="1081786" y="1439862"/>
                    </a:lnTo>
                    <a:lnTo>
                      <a:pt x="1043435" y="1479550"/>
                    </a:lnTo>
                    <a:lnTo>
                      <a:pt x="984313" y="1528762"/>
                    </a:lnTo>
                    <a:lnTo>
                      <a:pt x="945964" y="1557337"/>
                    </a:lnTo>
                    <a:lnTo>
                      <a:pt x="872459" y="1601787"/>
                    </a:lnTo>
                    <a:lnTo>
                      <a:pt x="808542" y="1636712"/>
                    </a:lnTo>
                    <a:lnTo>
                      <a:pt x="754214" y="1658937"/>
                    </a:lnTo>
                    <a:lnTo>
                      <a:pt x="712668" y="1673225"/>
                    </a:lnTo>
                    <a:lnTo>
                      <a:pt x="675916" y="1687512"/>
                    </a:lnTo>
                    <a:lnTo>
                      <a:pt x="627979" y="1703387"/>
                    </a:lnTo>
                    <a:lnTo>
                      <a:pt x="580042" y="1717675"/>
                    </a:lnTo>
                    <a:lnTo>
                      <a:pt x="532104" y="1728787"/>
                    </a:lnTo>
                    <a:lnTo>
                      <a:pt x="495353" y="1738312"/>
                    </a:lnTo>
                    <a:lnTo>
                      <a:pt x="412261" y="1758950"/>
                    </a:lnTo>
                    <a:lnTo>
                      <a:pt x="361128" y="1770062"/>
                    </a:lnTo>
                    <a:lnTo>
                      <a:pt x="292417" y="1782762"/>
                    </a:lnTo>
                    <a:lnTo>
                      <a:pt x="247676" y="1792287"/>
                    </a:lnTo>
                    <a:lnTo>
                      <a:pt x="207728" y="1800225"/>
                    </a:lnTo>
                    <a:lnTo>
                      <a:pt x="174172" y="1804987"/>
                    </a:lnTo>
                    <a:lnTo>
                      <a:pt x="86287" y="1819274"/>
                    </a:lnTo>
                    <a:lnTo>
                      <a:pt x="4794" y="1838324"/>
                    </a:lnTo>
                    <a:lnTo>
                      <a:pt x="0" y="1862137"/>
                    </a:lnTo>
                    <a:lnTo>
                      <a:pt x="3962820" y="1857374"/>
                    </a:lnTo>
                    <a:lnTo>
                      <a:pt x="3921274" y="1843087"/>
                    </a:lnTo>
                    <a:lnTo>
                      <a:pt x="3878131" y="1828799"/>
                    </a:lnTo>
                    <a:lnTo>
                      <a:pt x="3826997" y="1814512"/>
                    </a:lnTo>
                    <a:lnTo>
                      <a:pt x="3772669" y="1806574"/>
                    </a:lnTo>
                    <a:lnTo>
                      <a:pt x="3707155" y="1792287"/>
                    </a:lnTo>
                    <a:lnTo>
                      <a:pt x="3740711" y="1797050"/>
                    </a:lnTo>
                    <a:lnTo>
                      <a:pt x="3667207" y="1782762"/>
                    </a:lnTo>
                    <a:lnTo>
                      <a:pt x="3624063" y="1771650"/>
                    </a:lnTo>
                    <a:lnTo>
                      <a:pt x="3553754" y="1752600"/>
                    </a:lnTo>
                    <a:lnTo>
                      <a:pt x="3489839" y="1733550"/>
                    </a:lnTo>
                    <a:lnTo>
                      <a:pt x="3435510" y="1716087"/>
                    </a:lnTo>
                    <a:lnTo>
                      <a:pt x="3384377" y="1700212"/>
                    </a:lnTo>
                    <a:lnTo>
                      <a:pt x="3326852" y="1681162"/>
                    </a:lnTo>
                    <a:lnTo>
                      <a:pt x="3277316" y="1662112"/>
                    </a:lnTo>
                    <a:lnTo>
                      <a:pt x="3213399" y="1633537"/>
                    </a:lnTo>
                    <a:lnTo>
                      <a:pt x="3186235" y="1619250"/>
                    </a:lnTo>
                    <a:lnTo>
                      <a:pt x="3184638" y="1619250"/>
                    </a:lnTo>
                    <a:lnTo>
                      <a:pt x="3163864" y="1608137"/>
                    </a:lnTo>
                    <a:lnTo>
                      <a:pt x="3125514" y="1589087"/>
                    </a:lnTo>
                    <a:lnTo>
                      <a:pt x="3093557" y="1565275"/>
                    </a:lnTo>
                    <a:lnTo>
                      <a:pt x="3058402" y="1538287"/>
                    </a:lnTo>
                    <a:lnTo>
                      <a:pt x="3004073" y="1489075"/>
                    </a:lnTo>
                    <a:lnTo>
                      <a:pt x="2970517" y="1452562"/>
                    </a:lnTo>
                    <a:lnTo>
                      <a:pt x="2936961" y="1414462"/>
                    </a:lnTo>
                    <a:lnTo>
                      <a:pt x="2908198" y="1377950"/>
                    </a:lnTo>
                    <a:lnTo>
                      <a:pt x="2877839" y="1341437"/>
                    </a:lnTo>
                    <a:lnTo>
                      <a:pt x="2857065" y="1309687"/>
                    </a:lnTo>
                    <a:lnTo>
                      <a:pt x="2837891" y="1284287"/>
                    </a:lnTo>
                    <a:lnTo>
                      <a:pt x="2820314" y="1257300"/>
                    </a:lnTo>
                    <a:lnTo>
                      <a:pt x="2802737" y="1225550"/>
                    </a:lnTo>
                    <a:lnTo>
                      <a:pt x="2786758" y="1192212"/>
                    </a:lnTo>
                    <a:lnTo>
                      <a:pt x="2772376" y="1157287"/>
                    </a:lnTo>
                    <a:lnTo>
                      <a:pt x="2756397" y="1122362"/>
                    </a:lnTo>
                    <a:lnTo>
                      <a:pt x="2745211" y="1098550"/>
                    </a:lnTo>
                    <a:lnTo>
                      <a:pt x="2732429" y="1069975"/>
                    </a:lnTo>
                    <a:lnTo>
                      <a:pt x="2721244" y="1042987"/>
                    </a:lnTo>
                    <a:lnTo>
                      <a:pt x="2708460" y="1017587"/>
                    </a:lnTo>
                    <a:lnTo>
                      <a:pt x="2694078" y="982662"/>
                    </a:lnTo>
                    <a:lnTo>
                      <a:pt x="2678099" y="949325"/>
                    </a:lnTo>
                    <a:lnTo>
                      <a:pt x="2657326" y="901700"/>
                    </a:lnTo>
                    <a:lnTo>
                      <a:pt x="2638151" y="866775"/>
                    </a:lnTo>
                    <a:lnTo>
                      <a:pt x="2618977" y="828675"/>
                    </a:lnTo>
                    <a:lnTo>
                      <a:pt x="2599801" y="788987"/>
                    </a:lnTo>
                    <a:lnTo>
                      <a:pt x="2585421" y="755650"/>
                    </a:lnTo>
                    <a:lnTo>
                      <a:pt x="2551864" y="682625"/>
                    </a:lnTo>
                    <a:lnTo>
                      <a:pt x="2524700" y="630237"/>
                    </a:lnTo>
                    <a:lnTo>
                      <a:pt x="2502329" y="581025"/>
                    </a:lnTo>
                    <a:lnTo>
                      <a:pt x="2481557" y="539750"/>
                    </a:lnTo>
                    <a:lnTo>
                      <a:pt x="2465578" y="511175"/>
                    </a:lnTo>
                    <a:lnTo>
                      <a:pt x="2446402" y="473075"/>
                    </a:lnTo>
                    <a:lnTo>
                      <a:pt x="2424032" y="430212"/>
                    </a:lnTo>
                    <a:lnTo>
                      <a:pt x="2406454" y="398462"/>
                    </a:lnTo>
                    <a:lnTo>
                      <a:pt x="2392074" y="374650"/>
                    </a:lnTo>
                    <a:lnTo>
                      <a:pt x="2345734" y="290512"/>
                    </a:lnTo>
                    <a:lnTo>
                      <a:pt x="2331352" y="265112"/>
                    </a:lnTo>
                    <a:lnTo>
                      <a:pt x="2315373" y="238125"/>
                    </a:lnTo>
                    <a:lnTo>
                      <a:pt x="2297797" y="214312"/>
                    </a:lnTo>
                    <a:lnTo>
                      <a:pt x="2283415" y="198437"/>
                    </a:lnTo>
                    <a:lnTo>
                      <a:pt x="2273828" y="180975"/>
                    </a:lnTo>
                    <a:lnTo>
                      <a:pt x="2264241" y="169862"/>
                    </a:lnTo>
                    <a:lnTo>
                      <a:pt x="2254653" y="157162"/>
                    </a:lnTo>
                    <a:lnTo>
                      <a:pt x="2248261" y="150812"/>
                    </a:lnTo>
                    <a:lnTo>
                      <a:pt x="2235478" y="136525"/>
                    </a:lnTo>
                    <a:lnTo>
                      <a:pt x="2219498" y="117475"/>
                    </a:lnTo>
                    <a:lnTo>
                      <a:pt x="2201922" y="98425"/>
                    </a:lnTo>
                    <a:lnTo>
                      <a:pt x="2182747" y="79375"/>
                    </a:lnTo>
                    <a:lnTo>
                      <a:pt x="2163572" y="61912"/>
                    </a:lnTo>
                    <a:lnTo>
                      <a:pt x="2142799" y="47625"/>
                    </a:lnTo>
                    <a:lnTo>
                      <a:pt x="2120428" y="30162"/>
                    </a:lnTo>
                    <a:lnTo>
                      <a:pt x="2086872" y="17462"/>
                    </a:lnTo>
                    <a:lnTo>
                      <a:pt x="2054914" y="6350"/>
                    </a:lnTo>
                    <a:lnTo>
                      <a:pt x="2014966" y="0"/>
                    </a:lnTo>
                    <a:close/>
                  </a:path>
                </a:pathLst>
              </a:custGeom>
              <a:solidFill>
                <a:srgbClr val="FFCA00"/>
              </a:solidFill>
            </xdr:spPr>
            <xdr:txBody>
              <a:bodyPr wrap="square" lIns="0" tIns="0" rIns="0" bIns="0" rtlCol="0"/>
              <a:lstStyle>
                <a:defPPr>
                  <a:defRPr kern="0"/>
                </a:defPPr>
              </a:lstStyle>
              <a:p>
                <a:endParaRPr/>
              </a:p>
            </xdr:txBody>
          </xdr:sp>
          <xdr:sp macro="" textlink="">
            <xdr:nvSpPr>
              <xdr:cNvPr id="9" name="object 14">
                <a:extLst>
                  <a:ext uri="{FF2B5EF4-FFF2-40B4-BE49-F238E27FC236}">
                    <a16:creationId xmlns:a16="http://schemas.microsoft.com/office/drawing/2014/main" id="{49AA1282-BCDA-45D5-8B32-682A101AEBC3}"/>
                  </a:ext>
                </a:extLst>
              </xdr:cNvPr>
              <xdr:cNvSpPr/>
            </xdr:nvSpPr>
            <xdr:spPr>
              <a:xfrm>
                <a:off x="11296589" y="2659658"/>
                <a:ext cx="0" cy="233486"/>
              </a:xfrm>
              <a:custGeom>
                <a:avLst/>
                <a:gdLst/>
                <a:ahLst/>
                <a:cxnLst/>
                <a:rect l="l" t="t" r="r" b="b"/>
                <a:pathLst>
                  <a:path h="231775">
                    <a:moveTo>
                      <a:pt x="0" y="0"/>
                    </a:moveTo>
                    <a:lnTo>
                      <a:pt x="1" y="231774"/>
                    </a:lnTo>
                  </a:path>
                </a:pathLst>
              </a:custGeom>
              <a:ln w="12699">
                <a:solidFill>
                  <a:srgbClr val="000000"/>
                </a:solidFill>
              </a:ln>
            </xdr:spPr>
            <xdr:txBody>
              <a:bodyPr wrap="square" lIns="0" tIns="0" rIns="0" bIns="0" rtlCol="0"/>
              <a:lstStyle>
                <a:defPPr>
                  <a:defRPr kern="0"/>
                </a:defPPr>
              </a:lstStyle>
              <a:p>
                <a:endParaRPr/>
              </a:p>
            </xdr:txBody>
          </xdr:sp>
        </xdr:grpSp>
      </xdr:grpSp>
    </xdr:grpSp>
    <xdr:clientData/>
  </xdr:twoCellAnchor>
  <xdr:twoCellAnchor>
    <xdr:from>
      <xdr:col>15</xdr:col>
      <xdr:colOff>452812</xdr:colOff>
      <xdr:row>3</xdr:row>
      <xdr:rowOff>68580</xdr:rowOff>
    </xdr:from>
    <xdr:to>
      <xdr:col>18</xdr:col>
      <xdr:colOff>253422</xdr:colOff>
      <xdr:row>4</xdr:row>
      <xdr:rowOff>154940</xdr:rowOff>
    </xdr:to>
    <xdr:sp macro="" textlink="">
      <xdr:nvSpPr>
        <xdr:cNvPr id="13" name="object 17">
          <a:extLst>
            <a:ext uri="{FF2B5EF4-FFF2-40B4-BE49-F238E27FC236}">
              <a16:creationId xmlns:a16="http://schemas.microsoft.com/office/drawing/2014/main" id="{3B595790-159D-4ECC-919E-14E5F9C8920A}"/>
            </a:ext>
          </a:extLst>
        </xdr:cNvPr>
        <xdr:cNvSpPr txBox="1"/>
      </xdr:nvSpPr>
      <xdr:spPr>
        <a:xfrm>
          <a:off x="10732192" y="670560"/>
          <a:ext cx="1705610" cy="269240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>
            <a:spcBef>
              <a:spcPts val="100"/>
            </a:spcBef>
          </a:pPr>
          <a:r>
            <a:rPr sz="1600">
              <a:solidFill>
                <a:srgbClr val="FFFFFF"/>
              </a:solidFill>
              <a:latin typeface="Arial"/>
              <a:cs typeface="Arial"/>
            </a:rPr>
            <a:t>Risk</a:t>
          </a:r>
          <a:r>
            <a:rPr sz="1600" spc="-5">
              <a:solidFill>
                <a:srgbClr val="FFFFFF"/>
              </a:solidFill>
              <a:latin typeface="Arial"/>
              <a:cs typeface="Arial"/>
            </a:rPr>
            <a:t> </a:t>
          </a:r>
          <a:r>
            <a:rPr sz="1600">
              <a:solidFill>
                <a:srgbClr val="FFFFFF"/>
              </a:solidFill>
              <a:latin typeface="Arial"/>
              <a:cs typeface="Arial"/>
            </a:rPr>
            <a:t>of</a:t>
          </a:r>
          <a:r>
            <a:rPr sz="1600" spc="-5">
              <a:solidFill>
                <a:srgbClr val="FFFFFF"/>
              </a:solidFill>
              <a:latin typeface="Arial"/>
              <a:cs typeface="Arial"/>
            </a:rPr>
            <a:t> </a:t>
          </a:r>
          <a:r>
            <a:rPr sz="1600">
              <a:solidFill>
                <a:srgbClr val="FFFFFF"/>
              </a:solidFill>
              <a:latin typeface="Arial"/>
              <a:cs typeface="Arial"/>
            </a:rPr>
            <a:t>a </a:t>
          </a:r>
          <a:r>
            <a:rPr sz="1600" spc="-10">
              <a:solidFill>
                <a:srgbClr val="FFFFFF"/>
              </a:solidFill>
              <a:latin typeface="Arial"/>
              <a:cs typeface="Arial"/>
            </a:rPr>
            <a:t>stockout</a:t>
          </a:r>
          <a:endParaRPr sz="1600"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182880</xdr:colOff>
      <xdr:row>13</xdr:row>
      <xdr:rowOff>113031</xdr:rowOff>
    </xdr:from>
    <xdr:to>
      <xdr:col>14</xdr:col>
      <xdr:colOff>389163</xdr:colOff>
      <xdr:row>16</xdr:row>
      <xdr:rowOff>59398</xdr:rowOff>
    </xdr:to>
    <xdr:sp macro="" textlink="">
      <xdr:nvSpPr>
        <xdr:cNvPr id="14" name="object 18">
          <a:extLst>
            <a:ext uri="{FF2B5EF4-FFF2-40B4-BE49-F238E27FC236}">
              <a16:creationId xmlns:a16="http://schemas.microsoft.com/office/drawing/2014/main" id="{FAE26D97-F489-48B5-8C05-65222B9127BD}"/>
            </a:ext>
          </a:extLst>
        </xdr:cNvPr>
        <xdr:cNvSpPr txBox="1"/>
      </xdr:nvSpPr>
      <xdr:spPr>
        <a:xfrm>
          <a:off x="8023860" y="2543811"/>
          <a:ext cx="2035083" cy="540727"/>
        </a:xfrm>
        <a:prstGeom prst="rect">
          <a:avLst/>
        </a:prstGeom>
      </xdr:spPr>
      <xdr:txBody>
        <a:bodyPr vert="horz" wrap="square" lIns="0" tIns="22860" rIns="0" bIns="0" rtlCol="0">
          <a:spAutoFit/>
        </a:bodyPr>
        <a:lstStyle>
          <a:defPPr>
            <a:defRPr kern="0"/>
          </a:defPPr>
        </a:lstStyle>
        <a:p>
          <a:pPr marL="12700" marR="5080" algn="r">
            <a:spcBef>
              <a:spcPts val="180"/>
            </a:spcBef>
          </a:pPr>
          <a:r>
            <a:rPr sz="1600" b="1" spc="-10">
              <a:solidFill>
                <a:srgbClr val="FFFFFF"/>
              </a:solidFill>
              <a:latin typeface="Arial"/>
              <a:cs typeface="Arial"/>
            </a:rPr>
            <a:t>Expected </a:t>
          </a:r>
          <a:r>
            <a:rPr lang="en-US" sz="1600" b="1" spc="-10">
              <a:solidFill>
                <a:srgbClr val="FFFFFF"/>
              </a:solidFill>
              <a:latin typeface="Arial"/>
              <a:cs typeface="Arial"/>
            </a:rPr>
            <a:t>Lead Time </a:t>
          </a:r>
          <a:r>
            <a:rPr sz="1600" b="1" spc="-10">
              <a:solidFill>
                <a:srgbClr val="FFFFFF"/>
              </a:solidFill>
              <a:latin typeface="Arial"/>
              <a:cs typeface="Arial"/>
            </a:rPr>
            <a:t>Demand</a:t>
          </a:r>
          <a:endParaRPr sz="1600">
            <a:latin typeface="Arial"/>
            <a:cs typeface="Arial"/>
          </a:endParaRPr>
        </a:p>
      </xdr:txBody>
    </xdr:sp>
    <xdr:clientData/>
  </xdr:twoCellAnchor>
  <xdr:twoCellAnchor>
    <xdr:from>
      <xdr:col>17</xdr:col>
      <xdr:colOff>350365</xdr:colOff>
      <xdr:row>12</xdr:row>
      <xdr:rowOff>53975</xdr:rowOff>
    </xdr:from>
    <xdr:to>
      <xdr:col>18</xdr:col>
      <xdr:colOff>333855</xdr:colOff>
      <xdr:row>13</xdr:row>
      <xdr:rowOff>68585</xdr:rowOff>
    </xdr:to>
    <xdr:sp macro="" textlink="">
      <xdr:nvSpPr>
        <xdr:cNvPr id="15" name="object 19">
          <a:extLst>
            <a:ext uri="{FF2B5EF4-FFF2-40B4-BE49-F238E27FC236}">
              <a16:creationId xmlns:a16="http://schemas.microsoft.com/office/drawing/2014/main" id="{4F1C8242-178F-467E-990A-551A221BF021}"/>
            </a:ext>
          </a:extLst>
        </xdr:cNvPr>
        <xdr:cNvSpPr txBox="1"/>
      </xdr:nvSpPr>
      <xdr:spPr>
        <a:xfrm>
          <a:off x="11925145" y="2301875"/>
          <a:ext cx="593090" cy="197490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>
            <a:spcBef>
              <a:spcPts val="100"/>
            </a:spcBef>
          </a:pPr>
          <a:r>
            <a:rPr sz="1200" spc="-10">
              <a:solidFill>
                <a:srgbClr val="FFFFFF"/>
              </a:solidFill>
              <a:latin typeface="Arial"/>
              <a:cs typeface="Arial"/>
            </a:rPr>
            <a:t>Quantity</a:t>
          </a:r>
          <a:endParaRPr sz="1200"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485596</xdr:colOff>
      <xdr:row>11</xdr:row>
      <xdr:rowOff>120015</xdr:rowOff>
    </xdr:from>
    <xdr:to>
      <xdr:col>16</xdr:col>
      <xdr:colOff>383998</xdr:colOff>
      <xdr:row>16</xdr:row>
      <xdr:rowOff>166370</xdr:rowOff>
    </xdr:to>
    <xdr:grpSp>
      <xdr:nvGrpSpPr>
        <xdr:cNvPr id="16" name="object 20">
          <a:extLst>
            <a:ext uri="{FF2B5EF4-FFF2-40B4-BE49-F238E27FC236}">
              <a16:creationId xmlns:a16="http://schemas.microsoft.com/office/drawing/2014/main" id="{4DF2AB77-0B31-4B54-8C5C-B0D21A6085FF}"/>
            </a:ext>
          </a:extLst>
        </xdr:cNvPr>
        <xdr:cNvGrpSpPr/>
      </xdr:nvGrpSpPr>
      <xdr:grpSpPr>
        <a:xfrm>
          <a:off x="10077271" y="2167890"/>
          <a:ext cx="1174752" cy="998855"/>
          <a:chOff x="4678360" y="5421313"/>
          <a:chExt cx="1117602" cy="960755"/>
        </a:xfrm>
      </xdr:grpSpPr>
      <xdr:sp macro="" textlink="">
        <xdr:nvSpPr>
          <xdr:cNvPr id="17" name="object 21">
            <a:extLst>
              <a:ext uri="{FF2B5EF4-FFF2-40B4-BE49-F238E27FC236}">
                <a16:creationId xmlns:a16="http://schemas.microsoft.com/office/drawing/2014/main" id="{41F39A7D-797C-50BC-CA17-65C4CA69B138}"/>
              </a:ext>
            </a:extLst>
          </xdr:cNvPr>
          <xdr:cNvSpPr/>
        </xdr:nvSpPr>
        <xdr:spPr>
          <a:xfrm>
            <a:off x="5795962" y="5421313"/>
            <a:ext cx="0" cy="960755"/>
          </a:xfrm>
          <a:custGeom>
            <a:avLst/>
            <a:gdLst/>
            <a:ahLst/>
            <a:cxnLst/>
            <a:rect l="l" t="t" r="r" b="b"/>
            <a:pathLst>
              <a:path h="960754">
                <a:moveTo>
                  <a:pt x="0" y="0"/>
                </a:moveTo>
                <a:lnTo>
                  <a:pt x="1" y="960436"/>
                </a:lnTo>
              </a:path>
            </a:pathLst>
          </a:custGeom>
          <a:ln w="9524">
            <a:solidFill>
              <a:srgbClr val="000000"/>
            </a:solidFill>
          </a:ln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8" name="object 22">
            <a:extLst>
              <a:ext uri="{FF2B5EF4-FFF2-40B4-BE49-F238E27FC236}">
                <a16:creationId xmlns:a16="http://schemas.microsoft.com/office/drawing/2014/main" id="{D4E8C02B-E867-9086-7EA7-51E78553E2A1}"/>
              </a:ext>
            </a:extLst>
          </xdr:cNvPr>
          <xdr:cNvSpPr/>
        </xdr:nvSpPr>
        <xdr:spPr>
          <a:xfrm>
            <a:off x="4678360" y="5475288"/>
            <a:ext cx="0" cy="906780"/>
          </a:xfrm>
          <a:custGeom>
            <a:avLst/>
            <a:gdLst/>
            <a:ahLst/>
            <a:cxnLst/>
            <a:rect l="l" t="t" r="r" b="b"/>
            <a:pathLst>
              <a:path h="906779">
                <a:moveTo>
                  <a:pt x="1" y="0"/>
                </a:moveTo>
                <a:lnTo>
                  <a:pt x="0" y="906461"/>
                </a:lnTo>
              </a:path>
            </a:pathLst>
          </a:custGeom>
          <a:ln w="9524">
            <a:solidFill>
              <a:srgbClr val="000000"/>
            </a:solidFill>
          </a:ln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9" name="object 23">
            <a:extLst>
              <a:ext uri="{FF2B5EF4-FFF2-40B4-BE49-F238E27FC236}">
                <a16:creationId xmlns:a16="http://schemas.microsoft.com/office/drawing/2014/main" id="{0CDC8E29-0C15-5624-FDBD-1C4E51413DCA}"/>
              </a:ext>
            </a:extLst>
          </xdr:cNvPr>
          <xdr:cNvSpPr/>
        </xdr:nvSpPr>
        <xdr:spPr>
          <a:xfrm>
            <a:off x="4703762" y="6065837"/>
            <a:ext cx="1066800" cy="0"/>
          </a:xfrm>
          <a:custGeom>
            <a:avLst/>
            <a:gdLst/>
            <a:ahLst/>
            <a:cxnLst/>
            <a:rect l="l" t="t" r="r" b="b"/>
            <a:pathLst>
              <a:path w="1066800">
                <a:moveTo>
                  <a:pt x="0" y="0"/>
                </a:moveTo>
                <a:lnTo>
                  <a:pt x="1066800" y="0"/>
                </a:lnTo>
              </a:path>
            </a:pathLst>
          </a:custGeom>
          <a:ln w="9524">
            <a:solidFill>
              <a:srgbClr val="000000"/>
            </a:solidFill>
          </a:ln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20" name="object 24">
            <a:extLst>
              <a:ext uri="{FF2B5EF4-FFF2-40B4-BE49-F238E27FC236}">
                <a16:creationId xmlns:a16="http://schemas.microsoft.com/office/drawing/2014/main" id="{FB855B65-3D6D-A236-F30B-29B0DAF51EC0}"/>
              </a:ext>
            </a:extLst>
          </xdr:cNvPr>
          <xdr:cNvSpPr/>
        </xdr:nvSpPr>
        <xdr:spPr>
          <a:xfrm>
            <a:off x="4678362" y="6027749"/>
            <a:ext cx="1117600" cy="76200"/>
          </a:xfrm>
          <a:custGeom>
            <a:avLst/>
            <a:gdLst/>
            <a:ahLst/>
            <a:cxnLst/>
            <a:rect l="l" t="t" r="r" b="b"/>
            <a:pathLst>
              <a:path w="1117600" h="76200">
                <a:moveTo>
                  <a:pt x="76200" y="0"/>
                </a:moveTo>
                <a:lnTo>
                  <a:pt x="0" y="38100"/>
                </a:lnTo>
                <a:lnTo>
                  <a:pt x="76200" y="76200"/>
                </a:lnTo>
                <a:lnTo>
                  <a:pt x="76200" y="0"/>
                </a:lnTo>
                <a:close/>
              </a:path>
              <a:path w="1117600" h="76200">
                <a:moveTo>
                  <a:pt x="1117600" y="38100"/>
                </a:moveTo>
                <a:lnTo>
                  <a:pt x="1041400" y="0"/>
                </a:lnTo>
                <a:lnTo>
                  <a:pt x="1041400" y="76200"/>
                </a:lnTo>
                <a:lnTo>
                  <a:pt x="1117600" y="38100"/>
                </a:lnTo>
                <a:close/>
              </a:path>
            </a:pathLst>
          </a:custGeom>
          <a:solidFill>
            <a:srgbClr val="000000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</xdr:grpSp>
    <xdr:clientData/>
  </xdr:twoCellAnchor>
  <xdr:twoCellAnchor>
    <xdr:from>
      <xdr:col>16</xdr:col>
      <xdr:colOff>453969</xdr:colOff>
      <xdr:row>4</xdr:row>
      <xdr:rowOff>147955</xdr:rowOff>
    </xdr:from>
    <xdr:to>
      <xdr:col>17</xdr:col>
      <xdr:colOff>9743</xdr:colOff>
      <xdr:row>11</xdr:row>
      <xdr:rowOff>169832</xdr:rowOff>
    </xdr:to>
    <xdr:grpSp>
      <xdr:nvGrpSpPr>
        <xdr:cNvPr id="21" name="object 27">
          <a:extLst>
            <a:ext uri="{FF2B5EF4-FFF2-40B4-BE49-F238E27FC236}">
              <a16:creationId xmlns:a16="http://schemas.microsoft.com/office/drawing/2014/main" id="{12E77189-512B-49AC-ADD2-F839F4BDFFDB}"/>
            </a:ext>
          </a:extLst>
        </xdr:cNvPr>
        <xdr:cNvGrpSpPr/>
      </xdr:nvGrpSpPr>
      <xdr:grpSpPr>
        <a:xfrm>
          <a:off x="11321994" y="929005"/>
          <a:ext cx="165374" cy="1288702"/>
          <a:chOff x="5904034" y="4291013"/>
          <a:chExt cx="165374" cy="1302037"/>
        </a:xfrm>
      </xdr:grpSpPr>
      <xdr:sp macro="" textlink="">
        <xdr:nvSpPr>
          <xdr:cNvPr id="22" name="object 28">
            <a:extLst>
              <a:ext uri="{FF2B5EF4-FFF2-40B4-BE49-F238E27FC236}">
                <a16:creationId xmlns:a16="http://schemas.microsoft.com/office/drawing/2014/main" id="{611DB1C6-DC52-BF3A-6B3B-937D249760A5}"/>
              </a:ext>
            </a:extLst>
          </xdr:cNvPr>
          <xdr:cNvSpPr/>
        </xdr:nvSpPr>
        <xdr:spPr>
          <a:xfrm>
            <a:off x="5936693" y="4291013"/>
            <a:ext cx="132715" cy="1276985"/>
          </a:xfrm>
          <a:custGeom>
            <a:avLst/>
            <a:gdLst/>
            <a:ahLst/>
            <a:cxnLst/>
            <a:rect l="l" t="t" r="r" b="b"/>
            <a:pathLst>
              <a:path w="132714" h="1276985">
                <a:moveTo>
                  <a:pt x="132319" y="0"/>
                </a:moveTo>
                <a:lnTo>
                  <a:pt x="0" y="1276484"/>
                </a:lnTo>
              </a:path>
            </a:pathLst>
          </a:custGeom>
          <a:ln w="9524">
            <a:solidFill>
              <a:srgbClr val="000000"/>
            </a:solidFill>
          </a:ln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23" name="object 29">
            <a:extLst>
              <a:ext uri="{FF2B5EF4-FFF2-40B4-BE49-F238E27FC236}">
                <a16:creationId xmlns:a16="http://schemas.microsoft.com/office/drawing/2014/main" id="{754DBA3F-DB24-D9F3-817B-2DF60327D56A}"/>
              </a:ext>
            </a:extLst>
          </xdr:cNvPr>
          <xdr:cNvSpPr/>
        </xdr:nvSpPr>
        <xdr:spPr>
          <a:xfrm>
            <a:off x="5904034" y="5513040"/>
            <a:ext cx="76200" cy="80010"/>
          </a:xfrm>
          <a:custGeom>
            <a:avLst/>
            <a:gdLst/>
            <a:ahLst/>
            <a:cxnLst/>
            <a:rect l="l" t="t" r="r" b="b"/>
            <a:pathLst>
              <a:path w="76200" h="80010">
                <a:moveTo>
                  <a:pt x="0" y="0"/>
                </a:moveTo>
                <a:lnTo>
                  <a:pt x="30039" y="79722"/>
                </a:lnTo>
                <a:lnTo>
                  <a:pt x="75793" y="7857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</xdr:grpSp>
    <xdr:clientData/>
  </xdr:twoCellAnchor>
  <xdr:twoCellAnchor>
    <xdr:from>
      <xdr:col>16</xdr:col>
      <xdr:colOff>147778</xdr:colOff>
      <xdr:row>9</xdr:row>
      <xdr:rowOff>125412</xdr:rowOff>
    </xdr:from>
    <xdr:to>
      <xdr:col>16</xdr:col>
      <xdr:colOff>504013</xdr:colOff>
      <xdr:row>10</xdr:row>
      <xdr:rowOff>140022</xdr:rowOff>
    </xdr:to>
    <xdr:sp macro="" textlink="">
      <xdr:nvSpPr>
        <xdr:cNvPr id="24" name="object 30">
          <a:extLst>
            <a:ext uri="{FF2B5EF4-FFF2-40B4-BE49-F238E27FC236}">
              <a16:creationId xmlns:a16="http://schemas.microsoft.com/office/drawing/2014/main" id="{2AF5995A-CABD-474B-A3A0-BDC719FFB4BC}"/>
            </a:ext>
          </a:extLst>
        </xdr:cNvPr>
        <xdr:cNvSpPr txBox="1"/>
      </xdr:nvSpPr>
      <xdr:spPr>
        <a:xfrm>
          <a:off x="11112958" y="1824672"/>
          <a:ext cx="356235" cy="197490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>
            <a:spcBef>
              <a:spcPts val="100"/>
            </a:spcBef>
          </a:pPr>
          <a:r>
            <a:rPr sz="1200" spc="-25">
              <a:solidFill>
                <a:srgbClr val="FFFFFF"/>
              </a:solidFill>
              <a:latin typeface="Arial"/>
              <a:cs typeface="Arial"/>
            </a:rPr>
            <a:t>ROP</a:t>
          </a:r>
          <a:endParaRPr sz="1200"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154641</xdr:colOff>
      <xdr:row>14</xdr:row>
      <xdr:rowOff>7620</xdr:rowOff>
    </xdr:from>
    <xdr:to>
      <xdr:col>16</xdr:col>
      <xdr:colOff>28275</xdr:colOff>
      <xdr:row>15</xdr:row>
      <xdr:rowOff>22230</xdr:rowOff>
    </xdr:to>
    <xdr:sp macro="" textlink="">
      <xdr:nvSpPr>
        <xdr:cNvPr id="25" name="object 25">
          <a:extLst>
            <a:ext uri="{FF2B5EF4-FFF2-40B4-BE49-F238E27FC236}">
              <a16:creationId xmlns:a16="http://schemas.microsoft.com/office/drawing/2014/main" id="{C23DF952-B964-45DC-B76B-73216D28C1DC}"/>
            </a:ext>
          </a:extLst>
        </xdr:cNvPr>
        <xdr:cNvSpPr txBox="1"/>
      </xdr:nvSpPr>
      <xdr:spPr>
        <a:xfrm>
          <a:off x="10434021" y="2667000"/>
          <a:ext cx="559434" cy="197490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>
            <a:spcBef>
              <a:spcPts val="100"/>
            </a:spcBef>
          </a:pPr>
          <a:r>
            <a:rPr sz="1200" b="1" spc="-10">
              <a:solidFill>
                <a:srgbClr val="FFFFFF"/>
              </a:solidFill>
              <a:latin typeface="Arial"/>
              <a:cs typeface="Arial"/>
            </a:rPr>
            <a:t>Safety</a:t>
          </a:r>
          <a:endParaRPr sz="1200"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175849</xdr:colOff>
      <xdr:row>15</xdr:row>
      <xdr:rowOff>91440</xdr:rowOff>
    </xdr:from>
    <xdr:to>
      <xdr:col>16</xdr:col>
      <xdr:colOff>6939</xdr:colOff>
      <xdr:row>16</xdr:row>
      <xdr:rowOff>106050</xdr:rowOff>
    </xdr:to>
    <xdr:sp macro="" textlink="">
      <xdr:nvSpPr>
        <xdr:cNvPr id="26" name="object 26">
          <a:extLst>
            <a:ext uri="{FF2B5EF4-FFF2-40B4-BE49-F238E27FC236}">
              <a16:creationId xmlns:a16="http://schemas.microsoft.com/office/drawing/2014/main" id="{8A1CF0FD-2A36-48B9-ADD9-82A56D773BBD}"/>
            </a:ext>
          </a:extLst>
        </xdr:cNvPr>
        <xdr:cNvSpPr txBox="1"/>
      </xdr:nvSpPr>
      <xdr:spPr>
        <a:xfrm>
          <a:off x="10455229" y="2933700"/>
          <a:ext cx="516890" cy="197490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>
            <a:spcBef>
              <a:spcPts val="100"/>
            </a:spcBef>
          </a:pPr>
          <a:r>
            <a:rPr sz="1200" b="1" spc="-10">
              <a:solidFill>
                <a:srgbClr val="FFFFFF"/>
              </a:solidFill>
              <a:latin typeface="Arial"/>
              <a:cs typeface="Arial"/>
            </a:rPr>
            <a:t>Stock</a:t>
          </a:r>
          <a:endParaRPr sz="1200"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0</xdr:colOff>
      <xdr:row>12</xdr:row>
      <xdr:rowOff>0</xdr:rowOff>
    </xdr:from>
    <xdr:to>
      <xdr:col>5</xdr:col>
      <xdr:colOff>561331</xdr:colOff>
      <xdr:row>14</xdr:row>
      <xdr:rowOff>121339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5DF7599-7449-4BEB-BA79-8A058185E2F8}"/>
            </a:ext>
          </a:extLst>
        </xdr:cNvPr>
        <xdr:cNvSpPr>
          <a:spLocks noRot="1" noChangeAspect="1" noMove="1" noResize="1" noEditPoints="1" noAdjustHandles="1" noChangeArrowheads="1" noChangeShapeType="1" noTextEdit="1"/>
        </xdr:cNvSpPr>
      </xdr:nvSpPr>
      <xdr:spPr bwMode="auto">
        <a:xfrm>
          <a:off x="3688080" y="2247900"/>
          <a:ext cx="561331" cy="532819"/>
        </a:xfrm>
        <a:prstGeom prst="rect">
          <a:avLst/>
        </a:prstGeom>
        <a:blipFill>
          <a:blip xmlns:r="http://schemas.openxmlformats.org/officeDocument/2006/relationships" r:embed="rId2"/>
          <a:stretch>
            <a:fillRect/>
          </a:stretch>
        </a:blipFill>
      </xdr:spPr>
      <xdr:txBody>
        <a:bodyPr wrap="square"/>
        <a:lstStyle>
          <a:defPPr>
            <a:defRPr lang="de-DE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5pPr>
          <a:lvl6pPr marL="2286000" algn="l" defTabSz="914400" rtl="0" eaLnBrk="1" latinLnBrk="0" hangingPunct="1">
            <a:defRPr sz="16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6pPr>
          <a:lvl7pPr marL="2743200" algn="l" defTabSz="914400" rtl="0" eaLnBrk="1" latinLnBrk="0" hangingPunct="1">
            <a:defRPr sz="16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7pPr>
          <a:lvl8pPr marL="3200400" algn="l" defTabSz="914400" rtl="0" eaLnBrk="1" latinLnBrk="0" hangingPunct="1">
            <a:defRPr sz="16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8pPr>
          <a:lvl9pPr marL="3657600" algn="l" defTabSz="914400" rtl="0" eaLnBrk="1" latinLnBrk="0" hangingPunct="1">
            <a:defRPr sz="16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9pPr>
        </a:lstStyle>
        <a:p>
          <a:pPr>
            <a:defRPr/>
          </a:pPr>
          <a:r>
            <a:rPr lang="en-GB" sz="1100">
              <a:noFill/>
              <a:latin typeface="Arial" charset="0"/>
              <a:cs typeface="Arial" charset="0"/>
            </a:rPr>
            <a:t> </a:t>
          </a:r>
        </a:p>
      </xdr:txBody>
    </xdr:sp>
    <xdr:clientData/>
  </xdr:twoCellAnchor>
  <xdr:twoCellAnchor>
    <xdr:from>
      <xdr:col>13</xdr:col>
      <xdr:colOff>167640</xdr:colOff>
      <xdr:row>16</xdr:row>
      <xdr:rowOff>83821</xdr:rowOff>
    </xdr:from>
    <xdr:to>
      <xdr:col>14</xdr:col>
      <xdr:colOff>267046</xdr:colOff>
      <xdr:row>19</xdr:row>
      <xdr:rowOff>114300</xdr:rowOff>
    </xdr:to>
    <xdr:pic>
      <xdr:nvPicPr>
        <xdr:cNvPr id="28" name="object 11">
          <a:extLst>
            <a:ext uri="{FF2B5EF4-FFF2-40B4-BE49-F238E27FC236}">
              <a16:creationId xmlns:a16="http://schemas.microsoft.com/office/drawing/2014/main" id="{C4EDC42F-8F86-4A7A-94B1-CF6E9A5BE806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227820" y="3108961"/>
          <a:ext cx="709006" cy="579119"/>
        </a:xfrm>
        <a:prstGeom prst="rect">
          <a:avLst/>
        </a:prstGeom>
      </xdr:spPr>
    </xdr:pic>
    <xdr:clientData/>
  </xdr:twoCellAnchor>
  <xdr:twoCellAnchor>
    <xdr:from>
      <xdr:col>14</xdr:col>
      <xdr:colOff>220980</xdr:colOff>
      <xdr:row>16</xdr:row>
      <xdr:rowOff>160020</xdr:rowOff>
    </xdr:from>
    <xdr:to>
      <xdr:col>16</xdr:col>
      <xdr:colOff>480060</xdr:colOff>
      <xdr:row>19</xdr:row>
      <xdr:rowOff>152400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C360BEB2-56EA-4E68-8AE9-7D43D20C3CDE}"/>
            </a:ext>
          </a:extLst>
        </xdr:cNvPr>
        <xdr:cNvGrpSpPr/>
      </xdr:nvGrpSpPr>
      <xdr:grpSpPr>
        <a:xfrm>
          <a:off x="9812655" y="3160395"/>
          <a:ext cx="1535430" cy="535305"/>
          <a:chOff x="8244840" y="3261360"/>
          <a:chExt cx="3122094" cy="1008062"/>
        </a:xfrm>
      </xdr:grpSpPr>
      <xdr:pic>
        <xdr:nvPicPr>
          <xdr:cNvPr id="30" name="object 4">
            <a:extLst>
              <a:ext uri="{FF2B5EF4-FFF2-40B4-BE49-F238E27FC236}">
                <a16:creationId xmlns:a16="http://schemas.microsoft.com/office/drawing/2014/main" id="{D7A04AC2-D689-9CFF-A629-E5797B51EC43}"/>
              </a:ext>
            </a:extLst>
          </xdr:cNvPr>
          <xdr:cNvPicPr/>
        </xdr:nvPicPr>
        <xdr:blipFill>
          <a:blip xmlns:r="http://schemas.openxmlformats.org/officeDocument/2006/relationships" r:embed="rId4" cstate="print"/>
          <a:stretch>
            <a:fillRect/>
          </a:stretch>
        </xdr:blipFill>
        <xdr:spPr>
          <a:xfrm>
            <a:off x="8244840" y="3261360"/>
            <a:ext cx="2876184" cy="1008062"/>
          </a:xfrm>
          <a:prstGeom prst="rect">
            <a:avLst/>
          </a:prstGeom>
          <a:ln>
            <a:noFill/>
          </a:ln>
        </xdr:spPr>
      </xdr:pic>
      <xdr:pic>
        <xdr:nvPicPr>
          <xdr:cNvPr id="31" name="object 12">
            <a:extLst>
              <a:ext uri="{FF2B5EF4-FFF2-40B4-BE49-F238E27FC236}">
                <a16:creationId xmlns:a16="http://schemas.microsoft.com/office/drawing/2014/main" id="{C9655B73-E927-6CA0-DF42-A8D2CCBC7C40}"/>
              </a:ext>
            </a:extLst>
          </xdr:cNvPr>
          <xdr:cNvPicPr/>
        </xdr:nvPicPr>
        <xdr:blipFill>
          <a:blip xmlns:r="http://schemas.openxmlformats.org/officeDocument/2006/relationships" r:embed="rId5" cstate="print"/>
          <a:stretch>
            <a:fillRect/>
          </a:stretch>
        </xdr:blipFill>
        <xdr:spPr>
          <a:xfrm>
            <a:off x="10744200" y="3611880"/>
            <a:ext cx="622734" cy="400109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144780</xdr:colOff>
      <xdr:row>33</xdr:row>
      <xdr:rowOff>53340</xdr:rowOff>
    </xdr:from>
    <xdr:to>
      <xdr:col>6</xdr:col>
      <xdr:colOff>30480</xdr:colOff>
      <xdr:row>36</xdr:row>
      <xdr:rowOff>30480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33FD0C30-17E0-413A-A78D-130680DFF463}"/>
            </a:ext>
          </a:extLst>
        </xdr:cNvPr>
        <xdr:cNvGrpSpPr/>
      </xdr:nvGrpSpPr>
      <xdr:grpSpPr>
        <a:xfrm>
          <a:off x="2564130" y="6177915"/>
          <a:ext cx="1714500" cy="520065"/>
          <a:chOff x="8244840" y="3261360"/>
          <a:chExt cx="3122094" cy="1008062"/>
        </a:xfrm>
      </xdr:grpSpPr>
      <xdr:pic>
        <xdr:nvPicPr>
          <xdr:cNvPr id="33" name="object 4">
            <a:extLst>
              <a:ext uri="{FF2B5EF4-FFF2-40B4-BE49-F238E27FC236}">
                <a16:creationId xmlns:a16="http://schemas.microsoft.com/office/drawing/2014/main" id="{2BD4437E-FF25-BD88-033D-9D067352E055}"/>
              </a:ext>
            </a:extLst>
          </xdr:cNvPr>
          <xdr:cNvPicPr/>
        </xdr:nvPicPr>
        <xdr:blipFill>
          <a:blip xmlns:r="http://schemas.openxmlformats.org/officeDocument/2006/relationships" r:embed="rId4" cstate="print"/>
          <a:stretch>
            <a:fillRect/>
          </a:stretch>
        </xdr:blipFill>
        <xdr:spPr>
          <a:xfrm>
            <a:off x="8244840" y="3261360"/>
            <a:ext cx="2876184" cy="1008062"/>
          </a:xfrm>
          <a:prstGeom prst="rect">
            <a:avLst/>
          </a:prstGeom>
          <a:ln>
            <a:noFill/>
          </a:ln>
        </xdr:spPr>
      </xdr:pic>
      <xdr:pic>
        <xdr:nvPicPr>
          <xdr:cNvPr id="34" name="object 12">
            <a:extLst>
              <a:ext uri="{FF2B5EF4-FFF2-40B4-BE49-F238E27FC236}">
                <a16:creationId xmlns:a16="http://schemas.microsoft.com/office/drawing/2014/main" id="{B7536BB5-3C2D-9320-DE80-4EF9DD9A85B5}"/>
              </a:ext>
            </a:extLst>
          </xdr:cNvPr>
          <xdr:cNvPicPr/>
        </xdr:nvPicPr>
        <xdr:blipFill>
          <a:blip xmlns:r="http://schemas.openxmlformats.org/officeDocument/2006/relationships" r:embed="rId5" cstate="print"/>
          <a:stretch>
            <a:fillRect/>
          </a:stretch>
        </xdr:blipFill>
        <xdr:spPr>
          <a:xfrm>
            <a:off x="10744200" y="3611880"/>
            <a:ext cx="622734" cy="400109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403411</xdr:colOff>
      <xdr:row>2</xdr:row>
      <xdr:rowOff>44824</xdr:rowOff>
    </xdr:from>
    <xdr:to>
      <xdr:col>16</xdr:col>
      <xdr:colOff>493058</xdr:colOff>
      <xdr:row>27</xdr:row>
      <xdr:rowOff>313765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BAE95C-0DEA-4106-B6B2-13984D729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6404</xdr:colOff>
      <xdr:row>32</xdr:row>
      <xdr:rowOff>180573</xdr:rowOff>
    </xdr:from>
    <xdr:to>
      <xdr:col>19</xdr:col>
      <xdr:colOff>589110</xdr:colOff>
      <xdr:row>57</xdr:row>
      <xdr:rowOff>67235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ACA1D15C-51DC-4B8C-B626-DDA367E8B6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aster's%20of%20Business%20Analytics\Operation%20Analytics\CW2\Simulation%20Demos%20-%207036SSL.xlsx" TargetMode="External"/><Relationship Id="rId1" Type="http://schemas.openxmlformats.org/officeDocument/2006/relationships/externalLinkPath" Target="file:///D:\Master's%20of%20Business%20Analytics\Operation%20Analytics\CW2\Simulation%20Demos%20-%207036SS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erministic"/>
      <sheetName val="One-Random Starter"/>
      <sheetName val="One-Random Full"/>
      <sheetName val="One-Normal Full"/>
      <sheetName val="Two Uncertains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57341B-DBBD-4C43-8631-7A72157CEF2B}" name="Table14" displayName="Table14" ref="A28:I778" totalsRowShown="0" headerRowDxfId="9" tableBorderDxfId="8">
  <autoFilter ref="A28:I778" xr:uid="{98D863DC-6D68-478C-A33C-496CAA47C56A}"/>
  <tableColumns count="9">
    <tableColumn id="1" xr3:uid="{969FAEE7-CBE3-4752-985E-C39D27C0664F}" name="Trial"/>
    <tableColumn id="8" xr3:uid="{68F1B8D8-33B1-4D4F-9CB7-90A0FE4E0DD4}" name="Random # for LT Demand" dataDxfId="7">
      <calculatedColumnFormula>RAND()</calculatedColumnFormula>
    </tableColumn>
    <tableColumn id="9" xr3:uid="{8669143F-A79B-49FB-9A8E-6A5FA28188BD}" name="Lead Time Demand" dataDxfId="6">
      <calculatedColumnFormula>_xlfn.NORM.INV(Table14[[#This Row],[Random '# for LT Demand]],Expected_LT_Demand,$F$8)</calculatedColumnFormula>
    </tableColumn>
    <tableColumn id="2" xr3:uid="{03AB272D-27D5-44C8-875A-443E6DD4F21F}" name="Random # for Share " dataDxfId="5">
      <calculatedColumnFormula>RAND()</calculatedColumnFormula>
    </tableColumn>
    <tableColumn id="3" xr3:uid="{F27D50D0-4856-43AF-8BDB-9842E816A3CA}" name="Share % _x000a_(based on _x000a_Random #)" dataDxfId="4" dataCellStyle="Percent">
      <calculatedColumnFormula>VLOOKUP(Table14[[#This Row],[Random '# for Share ]],$E$16:$F$21,2,TRUE)</calculatedColumnFormula>
    </tableColumn>
    <tableColumn id="4" xr3:uid="{98F31FAC-90EC-4267-B933-B49D5E430DC2}" name="Share of Lead Time Demand (Units)" dataDxfId="3">
      <calculatedColumnFormula>Expected_LT_Demand*Table14[[#This Row],[Share % 
(based on 
Random '#)]]</calculatedColumnFormula>
    </tableColumn>
    <tableColumn id="5" xr3:uid="{877B42CB-CEEA-4BF6-9AFF-0BE870A3E6B9}" name="Revenue" dataDxfId="2">
      <calculatedColumnFormula>Table14[[#This Row],[Share of Lead Time Demand (Units)]]*Unit_price</calculatedColumnFormula>
    </tableColumn>
    <tableColumn id="6" xr3:uid="{51EEA0AD-1975-41FC-9F2D-1048E0D6FCD6}" name="Costs" dataDxfId="1">
      <calculatedColumnFormula>Table14[[#This Row],[Share of Lead Time Demand (Units)]]*Unit_cost</calculatedColumnFormula>
    </tableColumn>
    <tableColumn id="7" xr3:uid="{2C869F7B-96FC-4F64-9C98-0746C23D2EB2}" name="Profit" dataDxfId="0">
      <calculatedColumnFormula>Table14[[#This Row],[Revenue]]-Table14[[#This Row],[Costs]]</calculatedColumnFormula>
    </tableColumn>
  </tableColumns>
  <tableStyleInfo name="TableStyleMedium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CB66-E1CA-40B5-B2C5-B01FB880ED3A}">
  <sheetPr codeName="Sheet1"/>
  <dimension ref="A1:G45"/>
  <sheetViews>
    <sheetView topLeftCell="A4" zoomScale="70" zoomScaleNormal="70" workbookViewId="0">
      <selection activeCell="A5" sqref="A5"/>
    </sheetView>
  </sheetViews>
  <sheetFormatPr defaultRowHeight="14.45"/>
  <cols>
    <col min="2" max="2" width="7.5703125" customWidth="1"/>
    <col min="3" max="3" width="7.42578125" bestFit="1" customWidth="1"/>
    <col min="4" max="4" width="13.42578125" bestFit="1" customWidth="1"/>
  </cols>
  <sheetData>
    <row r="1" spans="1:6" ht="18" thickBot="1">
      <c r="A1" s="160" t="s">
        <v>0</v>
      </c>
      <c r="B1" s="160"/>
      <c r="C1" s="160"/>
      <c r="D1" s="160"/>
      <c r="E1" s="160"/>
      <c r="F1" s="160"/>
    </row>
    <row r="2" spans="1:6" ht="15" thickTop="1"/>
    <row r="9" spans="1:6">
      <c r="A9" s="1" t="s">
        <v>1</v>
      </c>
      <c r="B9" s="2" t="s">
        <v>2</v>
      </c>
      <c r="C9" s="1" t="s">
        <v>3</v>
      </c>
      <c r="D9" s="1" t="s">
        <v>4</v>
      </c>
    </row>
    <row r="10" spans="1:6">
      <c r="A10">
        <v>1</v>
      </c>
      <c r="B10">
        <v>2018</v>
      </c>
      <c r="C10">
        <v>1</v>
      </c>
      <c r="D10">
        <v>365.6</v>
      </c>
    </row>
    <row r="11" spans="1:6">
      <c r="A11">
        <v>2</v>
      </c>
      <c r="B11">
        <v>2018</v>
      </c>
      <c r="C11">
        <v>2</v>
      </c>
      <c r="D11">
        <v>412.5</v>
      </c>
    </row>
    <row r="12" spans="1:6">
      <c r="A12">
        <v>3</v>
      </c>
      <c r="B12">
        <v>2018</v>
      </c>
      <c r="C12">
        <v>3</v>
      </c>
      <c r="D12">
        <v>349</v>
      </c>
    </row>
    <row r="13" spans="1:6">
      <c r="A13">
        <v>4</v>
      </c>
      <c r="B13">
        <v>2018</v>
      </c>
      <c r="C13">
        <v>4</v>
      </c>
      <c r="D13">
        <v>271.10000000000002</v>
      </c>
    </row>
    <row r="14" spans="1:6">
      <c r="A14">
        <v>5</v>
      </c>
      <c r="B14">
        <v>2019</v>
      </c>
      <c r="C14">
        <v>1</v>
      </c>
      <c r="D14">
        <v>231.5</v>
      </c>
    </row>
    <row r="15" spans="1:6">
      <c r="A15">
        <v>6</v>
      </c>
      <c r="B15">
        <v>2019</v>
      </c>
      <c r="C15">
        <v>2</v>
      </c>
      <c r="D15">
        <v>294.39999999999998</v>
      </c>
    </row>
    <row r="16" spans="1:6">
      <c r="A16">
        <v>7</v>
      </c>
      <c r="B16">
        <v>2019</v>
      </c>
      <c r="C16">
        <v>3</v>
      </c>
      <c r="D16">
        <v>233.1</v>
      </c>
    </row>
    <row r="17" spans="1:7">
      <c r="A17">
        <v>8</v>
      </c>
      <c r="B17">
        <v>2019</v>
      </c>
      <c r="C17">
        <v>4</v>
      </c>
      <c r="D17">
        <v>146.4</v>
      </c>
    </row>
    <row r="18" spans="1:7">
      <c r="A18">
        <v>9</v>
      </c>
      <c r="B18">
        <v>2020</v>
      </c>
      <c r="C18">
        <v>1</v>
      </c>
      <c r="D18">
        <v>122.20000000000002</v>
      </c>
    </row>
    <row r="19" spans="1:7">
      <c r="A19">
        <v>10</v>
      </c>
      <c r="B19">
        <v>2020</v>
      </c>
      <c r="C19">
        <v>2</v>
      </c>
      <c r="D19">
        <v>158.6</v>
      </c>
    </row>
    <row r="20" spans="1:7">
      <c r="A20">
        <v>11</v>
      </c>
      <c r="B20">
        <v>2020</v>
      </c>
      <c r="C20">
        <v>3</v>
      </c>
      <c r="D20">
        <v>163</v>
      </c>
    </row>
    <row r="21" spans="1:7">
      <c r="A21">
        <v>12</v>
      </c>
      <c r="B21">
        <v>2020</v>
      </c>
      <c r="C21">
        <v>4</v>
      </c>
      <c r="D21">
        <v>139.19999999999999</v>
      </c>
    </row>
    <row r="22" spans="1:7">
      <c r="A22">
        <v>13</v>
      </c>
      <c r="B22">
        <v>2021</v>
      </c>
      <c r="C22">
        <v>1</v>
      </c>
      <c r="D22">
        <v>149.79999999999998</v>
      </c>
    </row>
    <row r="23" spans="1:7">
      <c r="A23">
        <v>14</v>
      </c>
      <c r="B23">
        <v>2021</v>
      </c>
      <c r="C23">
        <v>2</v>
      </c>
      <c r="D23">
        <v>169.2</v>
      </c>
    </row>
    <row r="24" spans="1:7">
      <c r="A24">
        <v>15</v>
      </c>
      <c r="B24">
        <v>2021</v>
      </c>
      <c r="C24">
        <v>3</v>
      </c>
      <c r="D24">
        <v>153.80000000000001</v>
      </c>
    </row>
    <row r="25" spans="1:7">
      <c r="A25">
        <v>16</v>
      </c>
      <c r="B25">
        <v>2021</v>
      </c>
      <c r="C25">
        <v>4</v>
      </c>
      <c r="D25">
        <v>132</v>
      </c>
    </row>
    <row r="26" spans="1:7">
      <c r="A26">
        <v>17</v>
      </c>
      <c r="B26">
        <v>2022</v>
      </c>
      <c r="C26">
        <v>1</v>
      </c>
      <c r="D26">
        <v>128.4</v>
      </c>
    </row>
    <row r="27" spans="1:7" ht="18">
      <c r="A27">
        <v>18</v>
      </c>
      <c r="B27">
        <v>2022</v>
      </c>
      <c r="C27">
        <v>2</v>
      </c>
      <c r="D27">
        <v>171.8</v>
      </c>
      <c r="G27" s="3" t="s">
        <v>5</v>
      </c>
    </row>
    <row r="28" spans="1:7">
      <c r="A28">
        <v>19</v>
      </c>
      <c r="B28">
        <v>2022</v>
      </c>
      <c r="C28">
        <v>3</v>
      </c>
      <c r="D28">
        <v>168.4</v>
      </c>
      <c r="G28" s="4"/>
    </row>
    <row r="29" spans="1:7">
      <c r="A29">
        <v>20</v>
      </c>
      <c r="B29">
        <v>2022</v>
      </c>
      <c r="C29">
        <v>4</v>
      </c>
      <c r="D29">
        <v>155.5</v>
      </c>
      <c r="G29" s="5" t="s">
        <v>6</v>
      </c>
    </row>
    <row r="30" spans="1:7">
      <c r="A30">
        <v>21</v>
      </c>
      <c r="B30">
        <v>2023</v>
      </c>
      <c r="C30">
        <v>1</v>
      </c>
      <c r="D30">
        <v>170.8</v>
      </c>
      <c r="G30" s="4"/>
    </row>
    <row r="31" spans="1:7">
      <c r="A31">
        <v>22</v>
      </c>
      <c r="B31">
        <v>2023</v>
      </c>
      <c r="C31">
        <v>2</v>
      </c>
      <c r="D31">
        <v>217.70000000000002</v>
      </c>
      <c r="G31" s="5" t="s">
        <v>7</v>
      </c>
    </row>
    <row r="32" spans="1:7">
      <c r="A32">
        <v>23</v>
      </c>
      <c r="B32">
        <v>2023</v>
      </c>
      <c r="C32">
        <v>3</v>
      </c>
      <c r="D32">
        <v>227.8</v>
      </c>
      <c r="G32" s="4"/>
    </row>
    <row r="33" spans="1:7">
      <c r="A33">
        <v>24</v>
      </c>
      <c r="B33">
        <v>2023</v>
      </c>
      <c r="C33">
        <v>4</v>
      </c>
      <c r="D33">
        <v>213.39999999999998</v>
      </c>
      <c r="G33" s="5" t="s">
        <v>8</v>
      </c>
    </row>
    <row r="34" spans="1:7">
      <c r="A34">
        <v>25</v>
      </c>
      <c r="B34">
        <v>2024</v>
      </c>
      <c r="C34">
        <v>1</v>
      </c>
      <c r="D34">
        <v>211</v>
      </c>
    </row>
    <row r="35" spans="1:7">
      <c r="A35">
        <v>26</v>
      </c>
      <c r="B35">
        <v>2024</v>
      </c>
      <c r="C35">
        <v>2</v>
      </c>
      <c r="D35">
        <v>275.7</v>
      </c>
    </row>
    <row r="36" spans="1:7">
      <c r="A36">
        <v>27</v>
      </c>
      <c r="B36">
        <v>2024</v>
      </c>
      <c r="C36">
        <v>3</v>
      </c>
      <c r="D36">
        <v>260.39999999999998</v>
      </c>
    </row>
    <row r="37" spans="1:7">
      <c r="A37">
        <v>28</v>
      </c>
      <c r="B37">
        <v>2024</v>
      </c>
      <c r="C37">
        <v>4</v>
      </c>
      <c r="D37">
        <v>243.8</v>
      </c>
    </row>
    <row r="38" spans="1:7">
      <c r="A38">
        <v>29</v>
      </c>
      <c r="B38">
        <v>2025</v>
      </c>
      <c r="C38">
        <v>1</v>
      </c>
    </row>
    <row r="39" spans="1:7">
      <c r="A39">
        <v>30</v>
      </c>
      <c r="B39">
        <v>2025</v>
      </c>
      <c r="C39">
        <v>2</v>
      </c>
    </row>
    <row r="40" spans="1:7">
      <c r="A40">
        <v>31</v>
      </c>
      <c r="B40">
        <v>2025</v>
      </c>
      <c r="C40">
        <v>3</v>
      </c>
    </row>
    <row r="41" spans="1:7">
      <c r="A41">
        <v>32</v>
      </c>
      <c r="B41">
        <v>2025</v>
      </c>
      <c r="C41">
        <v>4</v>
      </c>
    </row>
    <row r="42" spans="1:7">
      <c r="A42">
        <v>33</v>
      </c>
      <c r="B42">
        <v>2026</v>
      </c>
      <c r="C42">
        <v>1</v>
      </c>
    </row>
    <row r="43" spans="1:7">
      <c r="A43">
        <v>34</v>
      </c>
      <c r="B43">
        <v>2026</v>
      </c>
      <c r="C43">
        <v>2</v>
      </c>
    </row>
    <row r="44" spans="1:7">
      <c r="A44">
        <v>35</v>
      </c>
      <c r="B44">
        <v>2026</v>
      </c>
      <c r="C44">
        <v>3</v>
      </c>
    </row>
    <row r="45" spans="1:7">
      <c r="A45">
        <v>36</v>
      </c>
      <c r="B45">
        <v>2026</v>
      </c>
      <c r="C45">
        <v>4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313C-A3EA-4510-BCE5-4C15617877CE}">
  <sheetPr codeName="Sheet7"/>
  <dimension ref="A1:AE79"/>
  <sheetViews>
    <sheetView topLeftCell="B3" zoomScale="70" zoomScaleNormal="70" workbookViewId="0">
      <selection activeCell="W5" sqref="W5"/>
    </sheetView>
  </sheetViews>
  <sheetFormatPr defaultColWidth="8.7109375" defaultRowHeight="14.45"/>
  <cols>
    <col min="1" max="2" width="8.7109375" customWidth="1"/>
    <col min="3" max="4" width="10.7109375" style="7" customWidth="1"/>
    <col min="5" max="5" width="10.7109375" customWidth="1"/>
    <col min="6" max="6" width="12" customWidth="1"/>
    <col min="7" max="7" width="11.28515625" customWidth="1"/>
    <col min="8" max="9" width="10" customWidth="1"/>
    <col min="10" max="10" width="8.7109375" customWidth="1"/>
    <col min="11" max="12" width="13.42578125" customWidth="1"/>
    <col min="13" max="13" width="3.140625" customWidth="1"/>
    <col min="14" max="14" width="3.28515625" customWidth="1"/>
    <col min="15" max="15" width="13.42578125" customWidth="1"/>
    <col min="16" max="16" width="8.42578125" customWidth="1"/>
    <col min="26" max="26" width="12.7109375" bestFit="1" customWidth="1"/>
  </cols>
  <sheetData>
    <row r="1" spans="1:31" ht="20.45" thickBot="1">
      <c r="A1" s="167" t="s">
        <v>9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58"/>
    </row>
    <row r="2" spans="1:31" ht="15" thickTop="1"/>
    <row r="3" spans="1:31" ht="29.45" thickBot="1">
      <c r="A3" s="8" t="s">
        <v>1</v>
      </c>
      <c r="B3" s="8" t="s">
        <v>2</v>
      </c>
      <c r="C3" s="8" t="s">
        <v>4</v>
      </c>
      <c r="D3" s="8" t="s">
        <v>10</v>
      </c>
      <c r="E3" s="9" t="s">
        <v>11</v>
      </c>
      <c r="F3" s="9" t="s">
        <v>12</v>
      </c>
      <c r="G3" s="39" t="s">
        <v>13</v>
      </c>
      <c r="H3" s="9" t="s">
        <v>14</v>
      </c>
      <c r="I3" s="9" t="s">
        <v>15</v>
      </c>
      <c r="J3" s="9" t="s">
        <v>16</v>
      </c>
      <c r="K3" s="40" t="s">
        <v>17</v>
      </c>
      <c r="L3" s="43"/>
      <c r="N3" s="10"/>
    </row>
    <row r="4" spans="1:31" ht="15" thickTop="1">
      <c r="A4" s="11">
        <f>'Time Series Plot'!A10</f>
        <v>1</v>
      </c>
      <c r="B4" s="11" t="str">
        <f>'Time Series Plot'!B10 &amp; " - Q" &amp; 'Time Series Plot'!C10</f>
        <v>2018 - Q1</v>
      </c>
      <c r="C4" s="12">
        <f>'Time Series Plot'!D10</f>
        <v>365.6</v>
      </c>
      <c r="D4" s="12"/>
      <c r="E4" s="18"/>
      <c r="F4" s="18"/>
      <c r="G4" s="18"/>
      <c r="H4" s="18"/>
      <c r="I4" s="18"/>
      <c r="J4" s="18"/>
      <c r="K4" s="19"/>
      <c r="L4" s="159"/>
    </row>
    <row r="5" spans="1:31">
      <c r="A5" s="11">
        <f>'Time Series Plot'!A11</f>
        <v>2</v>
      </c>
      <c r="B5" s="11" t="str">
        <f>'Time Series Plot'!B11 &amp; " - Q" &amp; 'Time Series Plot'!C11</f>
        <v>2018 - Q2</v>
      </c>
      <c r="C5" s="12">
        <f>'Time Series Plot'!D11</f>
        <v>412.5</v>
      </c>
      <c r="D5" s="12">
        <f>AVERAGE(C4:C7)</f>
        <v>349.54999999999995</v>
      </c>
      <c r="E5" s="18"/>
      <c r="F5" s="18"/>
      <c r="G5" s="18"/>
      <c r="H5" s="18"/>
      <c r="I5" s="18"/>
      <c r="J5" s="18"/>
      <c r="K5" s="19"/>
      <c r="L5" s="159"/>
    </row>
    <row r="6" spans="1:31">
      <c r="A6" s="16">
        <f>'Time Series Plot'!A12</f>
        <v>3</v>
      </c>
      <c r="B6" s="16" t="str">
        <f>'Time Series Plot'!B12 &amp; " - Q" &amp; 'Time Series Plot'!C12</f>
        <v>2018 - Q3</v>
      </c>
      <c r="C6" s="14">
        <f>'Time Series Plot'!D12</f>
        <v>349</v>
      </c>
      <c r="D6" s="14">
        <f t="shared" ref="D6:D29" si="0">AVERAGE(C5:C8)</f>
        <v>316.02499999999998</v>
      </c>
      <c r="E6" s="15">
        <f>AVERAGE(D5:D6)</f>
        <v>332.78749999999997</v>
      </c>
      <c r="F6" s="15">
        <f>C6-E6</f>
        <v>16.212500000000034</v>
      </c>
      <c r="G6" s="35" t="str">
        <f>"Q" &amp;'Time Series Plot'!C10</f>
        <v>Q1</v>
      </c>
      <c r="H6" s="15">
        <f>Z14</f>
        <v>13.020833333333352</v>
      </c>
      <c r="I6" s="15">
        <f t="shared" ref="I6:I29" si="1">E6+H6</f>
        <v>345.80833333333334</v>
      </c>
      <c r="J6" s="15">
        <f t="shared" ref="J6:J29" si="2">I6-C6</f>
        <v>-3.1916666666666629</v>
      </c>
      <c r="K6" s="17">
        <f t="shared" ref="K6:K29" si="3">E6+H6+J6</f>
        <v>342.61666666666667</v>
      </c>
      <c r="L6" s="17"/>
    </row>
    <row r="7" spans="1:31">
      <c r="A7" s="24">
        <f>'Time Series Plot'!A13</f>
        <v>4</v>
      </c>
      <c r="B7" s="24" t="str">
        <f>'Time Series Plot'!B13 &amp; " - Q" &amp; 'Time Series Plot'!C13</f>
        <v>2018 - Q4</v>
      </c>
      <c r="C7" s="26">
        <f>'Time Series Plot'!D13</f>
        <v>271.10000000000002</v>
      </c>
      <c r="D7" s="26">
        <f t="shared" si="0"/>
        <v>286.5</v>
      </c>
      <c r="E7" s="27">
        <f t="shared" ref="E7:E29" si="4">AVERAGE(D6:D7)</f>
        <v>301.26249999999999</v>
      </c>
      <c r="F7" s="27">
        <f t="shared" ref="F7:F29" si="5">C7-E7</f>
        <v>-30.162499999999966</v>
      </c>
      <c r="G7" s="36" t="str">
        <f>"Q" &amp;'Time Series Plot'!C11</f>
        <v>Q2</v>
      </c>
      <c r="H7" s="27">
        <f>Z15</f>
        <v>-20.491666666666678</v>
      </c>
      <c r="I7" s="27">
        <f t="shared" si="1"/>
        <v>280.77083333333331</v>
      </c>
      <c r="J7" s="27">
        <f t="shared" si="2"/>
        <v>9.6708333333332916</v>
      </c>
      <c r="K7" s="28">
        <f t="shared" si="3"/>
        <v>290.44166666666661</v>
      </c>
      <c r="L7" s="17"/>
    </row>
    <row r="8" spans="1:31">
      <c r="A8" s="16">
        <f>'Time Series Plot'!A14</f>
        <v>5</v>
      </c>
      <c r="B8" s="16" t="str">
        <f>'Time Series Plot'!B14 &amp; " - Q" &amp; 'Time Series Plot'!C14</f>
        <v>2019 - Q1</v>
      </c>
      <c r="C8" s="14">
        <f>'Time Series Plot'!D14</f>
        <v>231.5</v>
      </c>
      <c r="D8" s="14">
        <f t="shared" si="0"/>
        <v>257.52499999999998</v>
      </c>
      <c r="E8" s="15">
        <f t="shared" si="4"/>
        <v>272.01249999999999</v>
      </c>
      <c r="F8" s="15">
        <f t="shared" si="5"/>
        <v>-40.512499999999989</v>
      </c>
      <c r="G8" s="35" t="str">
        <f>"Q" &amp;'Time Series Plot'!C12</f>
        <v>Q3</v>
      </c>
      <c r="H8" s="15">
        <f>Z12</f>
        <v>-23.112499999999994</v>
      </c>
      <c r="I8" s="15">
        <f t="shared" si="1"/>
        <v>248.9</v>
      </c>
      <c r="J8" s="15">
        <f t="shared" si="2"/>
        <v>17.400000000000006</v>
      </c>
      <c r="K8" s="17">
        <f t="shared" si="3"/>
        <v>266.3</v>
      </c>
      <c r="L8" s="17"/>
      <c r="N8" s="13"/>
    </row>
    <row r="9" spans="1:31">
      <c r="A9" s="16">
        <f>'Time Series Plot'!A15</f>
        <v>6</v>
      </c>
      <c r="B9" s="16" t="str">
        <f>'Time Series Plot'!B15 &amp; " - Q" &amp; 'Time Series Plot'!C15</f>
        <v>2019 - Q2</v>
      </c>
      <c r="C9" s="14">
        <f>'Time Series Plot'!D15</f>
        <v>294.39999999999998</v>
      </c>
      <c r="D9" s="14">
        <f t="shared" si="0"/>
        <v>226.35</v>
      </c>
      <c r="E9" s="15">
        <f t="shared" si="4"/>
        <v>241.9375</v>
      </c>
      <c r="F9" s="15">
        <f t="shared" si="5"/>
        <v>52.462499999999977</v>
      </c>
      <c r="G9" s="35" t="str">
        <f>"Q" &amp;'Time Series Plot'!C13</f>
        <v>Q4</v>
      </c>
      <c r="H9" s="15">
        <f>Z13</f>
        <v>24.918750000000003</v>
      </c>
      <c r="I9" s="15">
        <f t="shared" si="1"/>
        <v>266.85624999999999</v>
      </c>
      <c r="J9" s="15">
        <f t="shared" si="2"/>
        <v>-27.543749999999989</v>
      </c>
      <c r="K9" s="17">
        <f t="shared" si="3"/>
        <v>239.3125</v>
      </c>
      <c r="L9" s="17"/>
    </row>
    <row r="10" spans="1:31" ht="14.45" customHeight="1">
      <c r="A10" s="16">
        <f>'Time Series Plot'!A16</f>
        <v>7</v>
      </c>
      <c r="B10" s="16" t="str">
        <f>'Time Series Plot'!B16 &amp; " - Q" &amp; 'Time Series Plot'!C16</f>
        <v>2019 - Q3</v>
      </c>
      <c r="C10" s="14">
        <f>'Time Series Plot'!D16</f>
        <v>233.1</v>
      </c>
      <c r="D10" s="14">
        <f t="shared" si="0"/>
        <v>199.02500000000001</v>
      </c>
      <c r="E10" s="15">
        <f t="shared" si="4"/>
        <v>212.6875</v>
      </c>
      <c r="F10" s="15">
        <f t="shared" si="5"/>
        <v>20.412499999999994</v>
      </c>
      <c r="G10" s="35" t="str">
        <f>"Q" &amp;'Time Series Plot'!C14</f>
        <v>Q1</v>
      </c>
      <c r="H10" s="15">
        <v>13.020833333333352</v>
      </c>
      <c r="I10" s="15">
        <f t="shared" si="1"/>
        <v>225.70833333333334</v>
      </c>
      <c r="J10" s="15">
        <f t="shared" si="2"/>
        <v>-7.3916666666666515</v>
      </c>
      <c r="K10" s="17">
        <f t="shared" si="3"/>
        <v>218.31666666666669</v>
      </c>
      <c r="L10" s="17"/>
      <c r="O10" s="163" t="s">
        <v>18</v>
      </c>
      <c r="P10" s="163"/>
      <c r="Q10" s="163"/>
      <c r="R10" s="163"/>
      <c r="S10" s="163"/>
      <c r="T10" s="20"/>
      <c r="U10" s="20"/>
      <c r="V10" s="20"/>
      <c r="Y10" s="29"/>
      <c r="Z10" s="161" t="s">
        <v>14</v>
      </c>
      <c r="AC10" s="29"/>
      <c r="AD10" s="161" t="s">
        <v>14</v>
      </c>
      <c r="AE10" s="161" t="s">
        <v>19</v>
      </c>
    </row>
    <row r="11" spans="1:31" ht="15" thickBot="1">
      <c r="A11" s="24">
        <f>'Time Series Plot'!A17</f>
        <v>8</v>
      </c>
      <c r="B11" s="24" t="str">
        <f>'Time Series Plot'!B17 &amp; " - Q" &amp; 'Time Series Plot'!C17</f>
        <v>2019 - Q4</v>
      </c>
      <c r="C11" s="26">
        <f>'Time Series Plot'!D17</f>
        <v>146.4</v>
      </c>
      <c r="D11" s="26">
        <f t="shared" si="0"/>
        <v>165.07500000000002</v>
      </c>
      <c r="E11" s="27">
        <f t="shared" si="4"/>
        <v>182.05</v>
      </c>
      <c r="F11" s="27">
        <f t="shared" si="5"/>
        <v>-35.650000000000006</v>
      </c>
      <c r="G11" s="36" t="str">
        <f>"Q" &amp;'Time Series Plot'!C15</f>
        <v>Q2</v>
      </c>
      <c r="H11" s="27">
        <v>-20.491666666666678</v>
      </c>
      <c r="I11" s="27">
        <f t="shared" si="1"/>
        <v>161.55833333333334</v>
      </c>
      <c r="J11" s="27">
        <f t="shared" si="2"/>
        <v>15.158333333333331</v>
      </c>
      <c r="K11" s="28">
        <f t="shared" si="3"/>
        <v>176.71666666666667</v>
      </c>
      <c r="L11" s="17"/>
      <c r="O11" s="20" t="s">
        <v>20</v>
      </c>
      <c r="P11" s="21">
        <v>2018</v>
      </c>
      <c r="Q11" s="21">
        <v>2019</v>
      </c>
      <c r="R11" s="21">
        <v>2020</v>
      </c>
      <c r="S11" s="21">
        <v>2021</v>
      </c>
      <c r="T11" s="21">
        <v>2022</v>
      </c>
      <c r="U11" s="21">
        <v>2023</v>
      </c>
      <c r="V11" s="21">
        <v>2024</v>
      </c>
      <c r="Y11" s="20" t="s">
        <v>21</v>
      </c>
      <c r="Z11" s="161"/>
      <c r="AC11" s="20" t="s">
        <v>21</v>
      </c>
      <c r="AD11" s="162"/>
      <c r="AE11" s="162"/>
    </row>
    <row r="12" spans="1:31" ht="15" thickTop="1">
      <c r="A12" s="16">
        <f>'Time Series Plot'!A18</f>
        <v>9</v>
      </c>
      <c r="B12" s="16" t="str">
        <f>'Time Series Plot'!B18 &amp; " - Q" &amp; 'Time Series Plot'!C18</f>
        <v>2020 - Q1</v>
      </c>
      <c r="C12" s="14">
        <f>'Time Series Plot'!D18</f>
        <v>122.20000000000002</v>
      </c>
      <c r="D12" s="14">
        <f t="shared" si="0"/>
        <v>147.55000000000001</v>
      </c>
      <c r="E12" s="15">
        <f t="shared" si="4"/>
        <v>156.3125</v>
      </c>
      <c r="F12" s="15">
        <f t="shared" si="5"/>
        <v>-34.112499999999983</v>
      </c>
      <c r="G12" s="35" t="str">
        <f>"Q" &amp;'Time Series Plot'!C16</f>
        <v>Q3</v>
      </c>
      <c r="H12" s="15">
        <v>-23.112499999999994</v>
      </c>
      <c r="I12" s="15">
        <f t="shared" si="1"/>
        <v>133.20000000000002</v>
      </c>
      <c r="J12" s="15">
        <f t="shared" si="2"/>
        <v>11</v>
      </c>
      <c r="K12" s="17">
        <f t="shared" si="3"/>
        <v>144.20000000000002</v>
      </c>
      <c r="L12" s="17"/>
      <c r="O12" s="20">
        <v>1</v>
      </c>
      <c r="P12" s="22"/>
      <c r="Q12" s="17">
        <f>F8</f>
        <v>-40.512499999999989</v>
      </c>
      <c r="R12" s="17">
        <f>F12</f>
        <v>-34.112499999999983</v>
      </c>
      <c r="S12" s="17">
        <f>F16</f>
        <v>-4.3500000000000227</v>
      </c>
      <c r="T12" s="17">
        <f>F20</f>
        <v>-19.924999999999983</v>
      </c>
      <c r="U12" s="17">
        <f>F24</f>
        <v>-14.724999999999966</v>
      </c>
      <c r="V12" s="17">
        <f>F28</f>
        <v>-25.050000000000011</v>
      </c>
      <c r="X12" s="17"/>
      <c r="Y12" s="20">
        <v>1</v>
      </c>
      <c r="Z12" s="14">
        <f>AVERAGE(Q12:V12)</f>
        <v>-23.112499999999994</v>
      </c>
      <c r="AC12" s="20">
        <v>1</v>
      </c>
      <c r="AD12" s="30">
        <f>Z12</f>
        <v>-23.112499999999994</v>
      </c>
      <c r="AE12" s="17">
        <f>AD12-$AD$17</f>
        <v>-21.696354166666666</v>
      </c>
    </row>
    <row r="13" spans="1:31">
      <c r="A13" s="16">
        <f>'Time Series Plot'!A19</f>
        <v>10</v>
      </c>
      <c r="B13" s="16" t="str">
        <f>'Time Series Plot'!B19 &amp; " - Q" &amp; 'Time Series Plot'!C19</f>
        <v>2020 - Q2</v>
      </c>
      <c r="C13" s="14">
        <f>'Time Series Plot'!D19</f>
        <v>158.6</v>
      </c>
      <c r="D13" s="14">
        <f t="shared" si="0"/>
        <v>145.75</v>
      </c>
      <c r="E13" s="15">
        <f t="shared" si="4"/>
        <v>146.65</v>
      </c>
      <c r="F13" s="15">
        <f t="shared" si="5"/>
        <v>11.949999999999989</v>
      </c>
      <c r="G13" s="35" t="str">
        <f>"Q" &amp;'Time Series Plot'!C17</f>
        <v>Q4</v>
      </c>
      <c r="H13" s="15">
        <v>24.918750000000003</v>
      </c>
      <c r="I13" s="15">
        <f t="shared" si="1"/>
        <v>171.56875000000002</v>
      </c>
      <c r="J13" s="15">
        <f t="shared" si="2"/>
        <v>12.968750000000028</v>
      </c>
      <c r="K13" s="17">
        <f t="shared" si="3"/>
        <v>184.53750000000005</v>
      </c>
      <c r="L13" s="17"/>
      <c r="O13" s="20">
        <v>2</v>
      </c>
      <c r="P13" s="22"/>
      <c r="Q13" s="17">
        <f>F9</f>
        <v>52.462499999999977</v>
      </c>
      <c r="R13" s="17">
        <f>F13</f>
        <v>11.949999999999989</v>
      </c>
      <c r="S13" s="17">
        <f>F17</f>
        <v>17.099999999999994</v>
      </c>
      <c r="T13" s="17">
        <f>F21</f>
        <v>18.712500000000006</v>
      </c>
      <c r="U13" s="17">
        <f>F25</f>
        <v>17.512500000000017</v>
      </c>
      <c r="V13" s="17">
        <f>F29</f>
        <v>31.775000000000034</v>
      </c>
      <c r="X13" s="17"/>
      <c r="Y13" s="20">
        <v>2</v>
      </c>
      <c r="Z13" s="14">
        <f>AVERAGE(Q13:V13)</f>
        <v>24.918750000000003</v>
      </c>
      <c r="AC13" s="20">
        <v>2</v>
      </c>
      <c r="AD13" s="14">
        <f>Z13</f>
        <v>24.918750000000003</v>
      </c>
      <c r="AE13" s="17">
        <f t="shared" ref="AE13:AE15" si="6">AD13-$AD$17</f>
        <v>26.334895833333331</v>
      </c>
    </row>
    <row r="14" spans="1:31">
      <c r="A14" s="16">
        <f>'Time Series Plot'!A20</f>
        <v>11</v>
      </c>
      <c r="B14" s="16" t="str">
        <f>'Time Series Plot'!B20 &amp; " - Q" &amp; 'Time Series Plot'!C20</f>
        <v>2020 - Q3</v>
      </c>
      <c r="C14" s="14">
        <f>'Time Series Plot'!D20</f>
        <v>163</v>
      </c>
      <c r="D14" s="14">
        <f t="shared" si="0"/>
        <v>152.65</v>
      </c>
      <c r="E14" s="15">
        <f t="shared" si="4"/>
        <v>149.19999999999999</v>
      </c>
      <c r="F14" s="15">
        <f t="shared" si="5"/>
        <v>13.800000000000011</v>
      </c>
      <c r="G14" s="35" t="str">
        <f>"Q" &amp;'Time Series Plot'!C18</f>
        <v>Q1</v>
      </c>
      <c r="H14" s="15">
        <v>13.020833333333352</v>
      </c>
      <c r="I14" s="15">
        <f t="shared" si="1"/>
        <v>162.22083333333333</v>
      </c>
      <c r="J14" s="15">
        <f t="shared" si="2"/>
        <v>-0.77916666666666856</v>
      </c>
      <c r="K14" s="17">
        <f t="shared" si="3"/>
        <v>161.44166666666666</v>
      </c>
      <c r="L14" s="17"/>
      <c r="O14" s="20">
        <v>3</v>
      </c>
      <c r="P14" s="17">
        <f>F6</f>
        <v>16.212500000000034</v>
      </c>
      <c r="Q14" s="17">
        <f>F10</f>
        <v>20.412499999999994</v>
      </c>
      <c r="R14" s="17">
        <f>F14</f>
        <v>13.800000000000011</v>
      </c>
      <c r="S14" s="17">
        <f>F18</f>
        <v>5.2750000000000341</v>
      </c>
      <c r="T14" s="17">
        <f>F22</f>
        <v>7.0750000000000171</v>
      </c>
      <c r="U14" s="17">
        <f>F26</f>
        <v>15.350000000000023</v>
      </c>
      <c r="V14" s="22"/>
      <c r="X14" s="17"/>
      <c r="Y14" s="20">
        <v>3</v>
      </c>
      <c r="Z14" s="14">
        <f>AVERAGE(P14:U14)</f>
        <v>13.020833333333352</v>
      </c>
      <c r="AC14" s="20">
        <v>3</v>
      </c>
      <c r="AD14" s="14">
        <f>Z14</f>
        <v>13.020833333333352</v>
      </c>
      <c r="AE14" s="17">
        <f t="shared" si="6"/>
        <v>14.436979166666681</v>
      </c>
    </row>
    <row r="15" spans="1:31" ht="15" thickBot="1">
      <c r="A15" s="24">
        <f>'Time Series Plot'!A21</f>
        <v>12</v>
      </c>
      <c r="B15" s="24" t="str">
        <f>'Time Series Plot'!B21 &amp; " - Q" &amp; 'Time Series Plot'!C21</f>
        <v>2020 - Q4</v>
      </c>
      <c r="C15" s="26">
        <f>'Time Series Plot'!D21</f>
        <v>139.19999999999999</v>
      </c>
      <c r="D15" s="26">
        <f t="shared" si="0"/>
        <v>155.30000000000001</v>
      </c>
      <c r="E15" s="27">
        <f t="shared" si="4"/>
        <v>153.97500000000002</v>
      </c>
      <c r="F15" s="27">
        <f t="shared" si="5"/>
        <v>-14.775000000000034</v>
      </c>
      <c r="G15" s="36" t="str">
        <f>"Q" &amp;'Time Series Plot'!C19</f>
        <v>Q2</v>
      </c>
      <c r="H15" s="27">
        <v>-20.491666666666678</v>
      </c>
      <c r="I15" s="27">
        <f t="shared" si="1"/>
        <v>133.48333333333335</v>
      </c>
      <c r="J15" s="27">
        <f t="shared" si="2"/>
        <v>-5.7166666666666401</v>
      </c>
      <c r="K15" s="28">
        <f t="shared" si="3"/>
        <v>127.76666666666671</v>
      </c>
      <c r="L15" s="17"/>
      <c r="O15" s="21">
        <v>4</v>
      </c>
      <c r="P15" s="17">
        <f>F7</f>
        <v>-30.162499999999966</v>
      </c>
      <c r="Q15" s="17">
        <f>F11</f>
        <v>-35.650000000000006</v>
      </c>
      <c r="R15" s="17">
        <f>F15</f>
        <v>-14.775000000000034</v>
      </c>
      <c r="S15" s="17">
        <f>F19</f>
        <v>-14.175000000000011</v>
      </c>
      <c r="T15" s="17">
        <f>F23</f>
        <v>-16.862500000000011</v>
      </c>
      <c r="U15" s="17">
        <f>F27</f>
        <v>-11.325000000000045</v>
      </c>
      <c r="V15" s="23"/>
      <c r="X15" s="17"/>
      <c r="Y15" s="21">
        <v>4</v>
      </c>
      <c r="Z15" s="14">
        <f>AVERAGE(P15:U15)</f>
        <v>-20.491666666666678</v>
      </c>
      <c r="AC15" s="21">
        <v>4</v>
      </c>
      <c r="AD15" s="31">
        <f>Z15</f>
        <v>-20.491666666666678</v>
      </c>
      <c r="AE15" s="17">
        <f t="shared" si="6"/>
        <v>-19.07552083333335</v>
      </c>
    </row>
    <row r="16" spans="1:31" ht="15" thickTop="1">
      <c r="A16" s="16">
        <f>'Time Series Plot'!A22</f>
        <v>13</v>
      </c>
      <c r="B16" s="16" t="str">
        <f>'Time Series Plot'!B22 &amp; " - Q" &amp; 'Time Series Plot'!C22</f>
        <v>2021 - Q1</v>
      </c>
      <c r="C16" s="14">
        <f>'Time Series Plot'!D22</f>
        <v>149.79999999999998</v>
      </c>
      <c r="D16" s="14">
        <f t="shared" si="0"/>
        <v>153</v>
      </c>
      <c r="E16" s="15">
        <f t="shared" si="4"/>
        <v>154.15</v>
      </c>
      <c r="F16" s="15">
        <f t="shared" si="5"/>
        <v>-4.3500000000000227</v>
      </c>
      <c r="G16" s="35" t="str">
        <f>"Q" &amp;'Time Series Plot'!C20</f>
        <v>Q3</v>
      </c>
      <c r="H16" s="15">
        <v>-23.112499999999994</v>
      </c>
      <c r="I16" s="15">
        <f t="shared" si="1"/>
        <v>131.03750000000002</v>
      </c>
      <c r="J16" s="15">
        <f t="shared" si="2"/>
        <v>-18.76249999999996</v>
      </c>
      <c r="K16" s="17">
        <f t="shared" si="3"/>
        <v>112.27500000000006</v>
      </c>
      <c r="L16" s="17"/>
      <c r="X16" s="17"/>
      <c r="AD16" s="14">
        <f>SUM(AD12:AD15)</f>
        <v>-5.6645833333333169</v>
      </c>
      <c r="AE16" s="17">
        <f>SUM(AE12:AE15)</f>
        <v>0</v>
      </c>
    </row>
    <row r="17" spans="1:31">
      <c r="A17" s="16">
        <f>'Time Series Plot'!A23</f>
        <v>14</v>
      </c>
      <c r="B17" s="16" t="str">
        <f>'Time Series Plot'!B23 &amp; " - Q" &amp; 'Time Series Plot'!C23</f>
        <v>2021 - Q2</v>
      </c>
      <c r="C17" s="14">
        <f>'Time Series Plot'!D23</f>
        <v>169.2</v>
      </c>
      <c r="D17" s="14">
        <f t="shared" si="0"/>
        <v>151.19999999999999</v>
      </c>
      <c r="E17" s="15">
        <f t="shared" si="4"/>
        <v>152.1</v>
      </c>
      <c r="F17" s="15">
        <f t="shared" si="5"/>
        <v>17.099999999999994</v>
      </c>
      <c r="G17" s="35" t="str">
        <f>"Q" &amp;'Time Series Plot'!C21</f>
        <v>Q4</v>
      </c>
      <c r="H17" s="15">
        <v>24.918750000000003</v>
      </c>
      <c r="I17" s="15">
        <f t="shared" si="1"/>
        <v>177.01875000000001</v>
      </c>
      <c r="J17" s="15">
        <f t="shared" si="2"/>
        <v>7.8187500000000227</v>
      </c>
      <c r="K17" s="17">
        <f t="shared" si="3"/>
        <v>184.83750000000003</v>
      </c>
      <c r="L17" s="17"/>
      <c r="X17" s="17"/>
      <c r="AD17" s="14">
        <f>AD16/4</f>
        <v>-1.4161458333333292</v>
      </c>
      <c r="AE17" s="17"/>
    </row>
    <row r="18" spans="1:31">
      <c r="A18" s="16">
        <f>'Time Series Plot'!A24</f>
        <v>15</v>
      </c>
      <c r="B18" s="16" t="str">
        <f>'Time Series Plot'!B24 &amp; " - Q" &amp; 'Time Series Plot'!C24</f>
        <v>2021 - Q3</v>
      </c>
      <c r="C18" s="14">
        <f>'Time Series Plot'!D24</f>
        <v>153.80000000000001</v>
      </c>
      <c r="D18" s="14">
        <f t="shared" si="0"/>
        <v>145.85</v>
      </c>
      <c r="E18" s="15">
        <f t="shared" si="4"/>
        <v>148.52499999999998</v>
      </c>
      <c r="F18" s="15">
        <f t="shared" si="5"/>
        <v>5.2750000000000341</v>
      </c>
      <c r="G18" s="35" t="str">
        <f>"Q" &amp;'Time Series Plot'!C22</f>
        <v>Q1</v>
      </c>
      <c r="H18" s="15">
        <v>13.020833333333352</v>
      </c>
      <c r="I18" s="15">
        <f t="shared" si="1"/>
        <v>161.54583333333332</v>
      </c>
      <c r="J18" s="15">
        <f t="shared" si="2"/>
        <v>7.7458333333333087</v>
      </c>
      <c r="K18" s="17">
        <f t="shared" si="3"/>
        <v>169.29166666666663</v>
      </c>
      <c r="L18" s="17"/>
      <c r="X18" s="17"/>
    </row>
    <row r="19" spans="1:31">
      <c r="A19" s="24">
        <f>'Time Series Plot'!A25</f>
        <v>16</v>
      </c>
      <c r="B19" s="24" t="str">
        <f>'Time Series Plot'!B25 &amp; " - Q" &amp; 'Time Series Plot'!C25</f>
        <v>2021 - Q4</v>
      </c>
      <c r="C19" s="26">
        <f>'Time Series Plot'!D25</f>
        <v>132</v>
      </c>
      <c r="D19" s="26">
        <f t="shared" si="0"/>
        <v>146.5</v>
      </c>
      <c r="E19" s="27">
        <f t="shared" si="4"/>
        <v>146.17500000000001</v>
      </c>
      <c r="F19" s="27">
        <f t="shared" si="5"/>
        <v>-14.175000000000011</v>
      </c>
      <c r="G19" s="36" t="str">
        <f>"Q" &amp;'Time Series Plot'!C23</f>
        <v>Q2</v>
      </c>
      <c r="H19" s="27">
        <v>-20.491666666666678</v>
      </c>
      <c r="I19" s="27">
        <f t="shared" si="1"/>
        <v>125.68333333333334</v>
      </c>
      <c r="J19" s="27">
        <f t="shared" si="2"/>
        <v>-6.3166666666666629</v>
      </c>
      <c r="K19" s="28">
        <f t="shared" si="3"/>
        <v>119.36666666666667</v>
      </c>
      <c r="L19" s="17"/>
      <c r="X19" s="17"/>
    </row>
    <row r="20" spans="1:31">
      <c r="A20" s="16">
        <f>'Time Series Plot'!A26</f>
        <v>17</v>
      </c>
      <c r="B20" s="16" t="str">
        <f>'Time Series Plot'!B26 &amp; " - Q" &amp; 'Time Series Plot'!C26</f>
        <v>2022 - Q1</v>
      </c>
      <c r="C20" s="14">
        <f>'Time Series Plot'!D26</f>
        <v>128.4</v>
      </c>
      <c r="D20" s="14">
        <f t="shared" si="0"/>
        <v>150.15</v>
      </c>
      <c r="E20" s="15">
        <f t="shared" si="4"/>
        <v>148.32499999999999</v>
      </c>
      <c r="F20" s="15">
        <f t="shared" si="5"/>
        <v>-19.924999999999983</v>
      </c>
      <c r="G20" s="35" t="str">
        <f>"Q" &amp;'Time Series Plot'!C24</f>
        <v>Q3</v>
      </c>
      <c r="H20" s="15">
        <v>-23.112499999999994</v>
      </c>
      <c r="I20" s="15">
        <f t="shared" si="1"/>
        <v>125.21249999999999</v>
      </c>
      <c r="J20" s="15">
        <f t="shared" si="2"/>
        <v>-3.1875000000000142</v>
      </c>
      <c r="K20" s="17">
        <f t="shared" si="3"/>
        <v>122.02499999999998</v>
      </c>
      <c r="L20" s="17"/>
      <c r="X20" s="17"/>
    </row>
    <row r="21" spans="1:31">
      <c r="A21" s="16">
        <f>'Time Series Plot'!A27</f>
        <v>18</v>
      </c>
      <c r="B21" s="16" t="str">
        <f>'Time Series Plot'!B27 &amp; " - Q" &amp; 'Time Series Plot'!C27</f>
        <v>2022 - Q2</v>
      </c>
      <c r="C21" s="14">
        <f>'Time Series Plot'!D27</f>
        <v>171.8</v>
      </c>
      <c r="D21" s="14">
        <f t="shared" si="0"/>
        <v>156.02500000000001</v>
      </c>
      <c r="E21" s="15">
        <f t="shared" si="4"/>
        <v>153.08750000000001</v>
      </c>
      <c r="F21" s="15">
        <f t="shared" si="5"/>
        <v>18.712500000000006</v>
      </c>
      <c r="G21" s="35" t="str">
        <f>"Q" &amp;'Time Series Plot'!C25</f>
        <v>Q4</v>
      </c>
      <c r="H21" s="15">
        <v>24.918750000000003</v>
      </c>
      <c r="I21" s="15">
        <f t="shared" si="1"/>
        <v>178.00625000000002</v>
      </c>
      <c r="J21" s="15">
        <f t="shared" si="2"/>
        <v>6.2062500000000114</v>
      </c>
      <c r="K21" s="17">
        <f t="shared" si="3"/>
        <v>184.21250000000003</v>
      </c>
      <c r="L21" s="17"/>
      <c r="X21" s="17"/>
    </row>
    <row r="22" spans="1:31">
      <c r="A22" s="16">
        <f>'Time Series Plot'!A28</f>
        <v>19</v>
      </c>
      <c r="B22" s="16" t="str">
        <f>'Time Series Plot'!B28 &amp; " - Q" &amp; 'Time Series Plot'!C28</f>
        <v>2022 - Q3</v>
      </c>
      <c r="C22" s="14">
        <f>'Time Series Plot'!D28</f>
        <v>168.4</v>
      </c>
      <c r="D22" s="14">
        <f t="shared" si="0"/>
        <v>166.625</v>
      </c>
      <c r="E22" s="15">
        <f t="shared" si="4"/>
        <v>161.32499999999999</v>
      </c>
      <c r="F22" s="15">
        <f t="shared" si="5"/>
        <v>7.0750000000000171</v>
      </c>
      <c r="G22" s="35" t="str">
        <f>"Q" &amp;'Time Series Plot'!C26</f>
        <v>Q1</v>
      </c>
      <c r="H22" s="15">
        <v>13.020833333333352</v>
      </c>
      <c r="I22" s="15">
        <f t="shared" si="1"/>
        <v>174.34583333333333</v>
      </c>
      <c r="J22" s="15">
        <f t="shared" si="2"/>
        <v>5.9458333333333258</v>
      </c>
      <c r="K22" s="17">
        <f t="shared" si="3"/>
        <v>180.29166666666666</v>
      </c>
      <c r="L22" s="17"/>
      <c r="X22" s="17"/>
    </row>
    <row r="23" spans="1:31">
      <c r="A23" s="24">
        <f>'Time Series Plot'!A29</f>
        <v>20</v>
      </c>
      <c r="B23" s="24" t="str">
        <f>'Time Series Plot'!B29 &amp; " - Q" &amp; 'Time Series Plot'!C29</f>
        <v>2022 - Q4</v>
      </c>
      <c r="C23" s="26">
        <f>'Time Series Plot'!D29</f>
        <v>155.5</v>
      </c>
      <c r="D23" s="26">
        <f t="shared" si="0"/>
        <v>178.1</v>
      </c>
      <c r="E23" s="27">
        <f t="shared" si="4"/>
        <v>172.36250000000001</v>
      </c>
      <c r="F23" s="27">
        <f t="shared" si="5"/>
        <v>-16.862500000000011</v>
      </c>
      <c r="G23" s="36" t="str">
        <f>"Q" &amp;'Time Series Plot'!C27</f>
        <v>Q2</v>
      </c>
      <c r="H23" s="27">
        <v>-20.491666666666678</v>
      </c>
      <c r="I23" s="27">
        <f t="shared" si="1"/>
        <v>151.87083333333334</v>
      </c>
      <c r="J23" s="27">
        <f t="shared" si="2"/>
        <v>-3.6291666666666629</v>
      </c>
      <c r="K23" s="28">
        <f t="shared" si="3"/>
        <v>148.24166666666667</v>
      </c>
      <c r="L23" s="17"/>
      <c r="X23" s="17"/>
    </row>
    <row r="24" spans="1:31">
      <c r="A24" s="16">
        <f>'Time Series Plot'!A30</f>
        <v>21</v>
      </c>
      <c r="B24" s="16" t="str">
        <f>'Time Series Plot'!B30 &amp; " - Q" &amp; 'Time Series Plot'!C30</f>
        <v>2023 - Q1</v>
      </c>
      <c r="C24" s="14">
        <f>'Time Series Plot'!D30</f>
        <v>170.8</v>
      </c>
      <c r="D24" s="14">
        <f t="shared" si="0"/>
        <v>192.95</v>
      </c>
      <c r="E24" s="15">
        <f t="shared" si="4"/>
        <v>185.52499999999998</v>
      </c>
      <c r="F24" s="15">
        <f t="shared" si="5"/>
        <v>-14.724999999999966</v>
      </c>
      <c r="G24" s="35" t="str">
        <f>"Q" &amp;'Time Series Plot'!C28</f>
        <v>Q3</v>
      </c>
      <c r="H24" s="15">
        <v>-23.112499999999994</v>
      </c>
      <c r="I24" s="15">
        <f t="shared" si="1"/>
        <v>162.41249999999999</v>
      </c>
      <c r="J24" s="15">
        <f t="shared" si="2"/>
        <v>-8.3875000000000171</v>
      </c>
      <c r="K24" s="17">
        <f t="shared" si="3"/>
        <v>154.02499999999998</v>
      </c>
      <c r="L24" s="17"/>
    </row>
    <row r="25" spans="1:31">
      <c r="A25" s="16">
        <f>'Time Series Plot'!A31</f>
        <v>22</v>
      </c>
      <c r="B25" s="16" t="str">
        <f>'Time Series Plot'!B31 &amp; " - Q" &amp; 'Time Series Plot'!C31</f>
        <v>2023 - Q2</v>
      </c>
      <c r="C25" s="14">
        <f>'Time Series Plot'!D31</f>
        <v>217.70000000000002</v>
      </c>
      <c r="D25" s="14">
        <f t="shared" si="0"/>
        <v>207.42499999999998</v>
      </c>
      <c r="E25" s="15">
        <f t="shared" si="4"/>
        <v>200.1875</v>
      </c>
      <c r="F25" s="15">
        <f t="shared" si="5"/>
        <v>17.512500000000017</v>
      </c>
      <c r="G25" s="35" t="str">
        <f>"Q" &amp;'Time Series Plot'!C29</f>
        <v>Q4</v>
      </c>
      <c r="H25" s="15">
        <v>24.918750000000003</v>
      </c>
      <c r="I25" s="15">
        <f t="shared" si="1"/>
        <v>225.10624999999999</v>
      </c>
      <c r="J25" s="15">
        <f t="shared" si="2"/>
        <v>7.4062499999999716</v>
      </c>
      <c r="K25" s="17">
        <f t="shared" si="3"/>
        <v>232.51249999999996</v>
      </c>
      <c r="L25" s="17"/>
    </row>
    <row r="26" spans="1:31">
      <c r="A26" s="16">
        <f>'Time Series Plot'!A32</f>
        <v>23</v>
      </c>
      <c r="B26" s="16" t="str">
        <f>'Time Series Plot'!B32 &amp; " - Q" &amp; 'Time Series Plot'!C32</f>
        <v>2023 - Q3</v>
      </c>
      <c r="C26" s="14">
        <f>'Time Series Plot'!D32</f>
        <v>227.8</v>
      </c>
      <c r="D26" s="14">
        <f t="shared" si="0"/>
        <v>217.47499999999999</v>
      </c>
      <c r="E26" s="15">
        <f t="shared" si="4"/>
        <v>212.45</v>
      </c>
      <c r="F26" s="15">
        <f t="shared" si="5"/>
        <v>15.350000000000023</v>
      </c>
      <c r="G26" s="35" t="str">
        <f>"Q" &amp;'Time Series Plot'!C30</f>
        <v>Q1</v>
      </c>
      <c r="H26" s="15">
        <v>13.020833333333352</v>
      </c>
      <c r="I26" s="15">
        <f t="shared" si="1"/>
        <v>225.47083333333333</v>
      </c>
      <c r="J26" s="15">
        <f t="shared" si="2"/>
        <v>-2.3291666666666799</v>
      </c>
      <c r="K26" s="17">
        <f t="shared" si="3"/>
        <v>223.14166666666665</v>
      </c>
      <c r="L26" s="17"/>
    </row>
    <row r="27" spans="1:31">
      <c r="A27" s="24">
        <f>'Time Series Plot'!A33</f>
        <v>24</v>
      </c>
      <c r="B27" s="24" t="str">
        <f>'Time Series Plot'!B33 &amp; " - Q" &amp; 'Time Series Plot'!C33</f>
        <v>2023 - Q4</v>
      </c>
      <c r="C27" s="26">
        <f>'Time Series Plot'!D33</f>
        <v>213.39999999999998</v>
      </c>
      <c r="D27" s="26">
        <f t="shared" si="0"/>
        <v>231.97500000000002</v>
      </c>
      <c r="E27" s="27">
        <f t="shared" si="4"/>
        <v>224.72500000000002</v>
      </c>
      <c r="F27" s="27">
        <f t="shared" si="5"/>
        <v>-11.325000000000045</v>
      </c>
      <c r="G27" s="36" t="str">
        <f>"Q" &amp;'Time Series Plot'!C31</f>
        <v>Q2</v>
      </c>
      <c r="H27" s="27">
        <v>-20.491666666666678</v>
      </c>
      <c r="I27" s="27">
        <f t="shared" si="1"/>
        <v>204.23333333333335</v>
      </c>
      <c r="J27" s="27">
        <f t="shared" si="2"/>
        <v>-9.1666666666666288</v>
      </c>
      <c r="K27" s="28">
        <f t="shared" si="3"/>
        <v>195.06666666666672</v>
      </c>
      <c r="L27" s="17"/>
    </row>
    <row r="28" spans="1:31">
      <c r="A28" s="16">
        <f>'Time Series Plot'!A34</f>
        <v>25</v>
      </c>
      <c r="B28" s="16" t="str">
        <f>'Time Series Plot'!B34 &amp; " - Q" &amp; 'Time Series Plot'!C34</f>
        <v>2024 - Q1</v>
      </c>
      <c r="C28" s="14">
        <f>'Time Series Plot'!D34</f>
        <v>211</v>
      </c>
      <c r="D28" s="14">
        <f t="shared" si="0"/>
        <v>240.12499999999997</v>
      </c>
      <c r="E28" s="15">
        <f t="shared" si="4"/>
        <v>236.05</v>
      </c>
      <c r="F28" s="15">
        <f t="shared" si="5"/>
        <v>-25.050000000000011</v>
      </c>
      <c r="G28" s="35" t="str">
        <f>"Q" &amp;'Time Series Plot'!C32</f>
        <v>Q3</v>
      </c>
      <c r="H28" s="15">
        <v>-23.112499999999994</v>
      </c>
      <c r="I28" s="15">
        <f t="shared" si="1"/>
        <v>212.93750000000003</v>
      </c>
      <c r="J28" s="15">
        <f t="shared" si="2"/>
        <v>1.9375000000000284</v>
      </c>
      <c r="K28" s="17">
        <f t="shared" si="3"/>
        <v>214.87500000000006</v>
      </c>
      <c r="L28" s="17"/>
    </row>
    <row r="29" spans="1:31">
      <c r="A29" s="16">
        <f>'Time Series Plot'!A35</f>
        <v>26</v>
      </c>
      <c r="B29" s="16" t="str">
        <f>'Time Series Plot'!B35 &amp; " - Q" &amp; 'Time Series Plot'!C35</f>
        <v>2024 - Q2</v>
      </c>
      <c r="C29" s="14">
        <f>'Time Series Plot'!D35</f>
        <v>275.7</v>
      </c>
      <c r="D29" s="14">
        <f t="shared" si="0"/>
        <v>247.72499999999997</v>
      </c>
      <c r="E29" s="15">
        <f t="shared" si="4"/>
        <v>243.92499999999995</v>
      </c>
      <c r="F29" s="15">
        <f t="shared" si="5"/>
        <v>31.775000000000034</v>
      </c>
      <c r="G29" s="35" t="str">
        <f>"Q" &amp;'Time Series Plot'!C33</f>
        <v>Q4</v>
      </c>
      <c r="H29" s="15">
        <v>24.918750000000003</v>
      </c>
      <c r="I29" s="15">
        <f t="shared" si="1"/>
        <v>268.84374999999994</v>
      </c>
      <c r="J29" s="15">
        <f t="shared" si="2"/>
        <v>-6.8562500000000455</v>
      </c>
      <c r="K29" s="17">
        <f t="shared" si="3"/>
        <v>261.9874999999999</v>
      </c>
      <c r="L29" s="17"/>
    </row>
    <row r="30" spans="1:31">
      <c r="A30" s="11">
        <f>'Time Series Plot'!A36</f>
        <v>27</v>
      </c>
      <c r="B30" s="11" t="str">
        <f>'Time Series Plot'!B36 &amp; " - Q" &amp; 'Time Series Plot'!C36</f>
        <v>2024 - Q3</v>
      </c>
      <c r="C30" s="12">
        <f>'Time Series Plot'!D36</f>
        <v>260.39999999999998</v>
      </c>
      <c r="D30" s="12"/>
      <c r="E30" s="32"/>
      <c r="F30" s="32"/>
      <c r="G30" s="37" t="str">
        <f>"Q" &amp;'Time Series Plot'!C34</f>
        <v>Q1</v>
      </c>
      <c r="H30" s="32"/>
      <c r="I30" s="32"/>
      <c r="J30" s="32"/>
      <c r="K30" s="12"/>
      <c r="L30" s="14"/>
    </row>
    <row r="31" spans="1:31">
      <c r="A31" s="25">
        <f>'Time Series Plot'!A37</f>
        <v>28</v>
      </c>
      <c r="B31" s="25" t="str">
        <f>'Time Series Plot'!B37 &amp; " - Q" &amp; 'Time Series Plot'!C37</f>
        <v>2024 - Q4</v>
      </c>
      <c r="C31" s="33">
        <f>'Time Series Plot'!D37</f>
        <v>243.8</v>
      </c>
      <c r="D31" s="33"/>
      <c r="E31" s="34"/>
      <c r="F31" s="34"/>
      <c r="G31" s="38" t="str">
        <f>"Q" &amp;'Time Series Plot'!C35</f>
        <v>Q2</v>
      </c>
      <c r="H31" s="34"/>
      <c r="I31" s="34"/>
      <c r="J31" s="34"/>
      <c r="K31" s="33"/>
      <c r="L31" s="14"/>
    </row>
    <row r="32" spans="1:31">
      <c r="A32" s="11">
        <f>'Time Series Plot'!A38</f>
        <v>29</v>
      </c>
      <c r="B32" s="11" t="str">
        <f>'Time Series Plot'!B38 &amp; " - Q" &amp; 'Time Series Plot'!C38</f>
        <v>2025 - Q1</v>
      </c>
      <c r="C32" s="12"/>
      <c r="D32" s="12"/>
      <c r="E32" s="32"/>
      <c r="F32" s="32"/>
      <c r="G32" s="37" t="str">
        <f>"Q" &amp;'Time Series Plot'!C36</f>
        <v>Q3</v>
      </c>
      <c r="H32" s="32"/>
      <c r="I32" s="32"/>
      <c r="J32" s="32"/>
      <c r="K32" s="12"/>
      <c r="L32" s="14"/>
    </row>
    <row r="33" spans="1:12">
      <c r="A33" s="11">
        <f>'Time Series Plot'!A39</f>
        <v>30</v>
      </c>
      <c r="B33" s="11" t="str">
        <f>'Time Series Plot'!B39 &amp; " - Q" &amp; 'Time Series Plot'!C39</f>
        <v>2025 - Q2</v>
      </c>
      <c r="C33" s="12"/>
      <c r="D33" s="12"/>
      <c r="E33" s="32"/>
      <c r="F33" s="32"/>
      <c r="G33" s="37" t="str">
        <f>"Q" &amp;'Time Series Plot'!C37</f>
        <v>Q4</v>
      </c>
      <c r="H33" s="32"/>
      <c r="I33" s="32"/>
      <c r="J33" s="32"/>
      <c r="K33" s="12"/>
      <c r="L33" s="14"/>
    </row>
    <row r="34" spans="1:12">
      <c r="A34" s="11">
        <f>'Time Series Plot'!A40</f>
        <v>31</v>
      </c>
      <c r="B34" s="11" t="str">
        <f>'Time Series Plot'!B40 &amp; " - Q" &amp; 'Time Series Plot'!C40</f>
        <v>2025 - Q3</v>
      </c>
      <c r="C34" s="12"/>
      <c r="D34" s="12"/>
      <c r="E34" s="32"/>
      <c r="F34" s="32"/>
      <c r="G34" s="37" t="str">
        <f>"Q" &amp;'Time Series Plot'!C38</f>
        <v>Q1</v>
      </c>
      <c r="H34" s="32"/>
      <c r="I34" s="32"/>
      <c r="J34" s="32"/>
      <c r="K34" s="12"/>
      <c r="L34" s="14"/>
    </row>
    <row r="35" spans="1:12">
      <c r="A35" s="25">
        <f>'Time Series Plot'!A41</f>
        <v>32</v>
      </c>
      <c r="B35" s="25" t="str">
        <f>'Time Series Plot'!B41 &amp; " - Q" &amp; 'Time Series Plot'!C41</f>
        <v>2025 - Q4</v>
      </c>
      <c r="C35" s="33"/>
      <c r="D35" s="33"/>
      <c r="E35" s="34"/>
      <c r="F35" s="34"/>
      <c r="G35" s="38" t="str">
        <f>"Q" &amp;'Time Series Plot'!C39</f>
        <v>Q2</v>
      </c>
      <c r="H35" s="34"/>
      <c r="I35" s="34"/>
      <c r="J35" s="34"/>
      <c r="K35" s="33"/>
      <c r="L35" s="14"/>
    </row>
    <row r="36" spans="1:12">
      <c r="A36" s="11">
        <f>'Time Series Plot'!A42</f>
        <v>33</v>
      </c>
      <c r="B36" s="11" t="str">
        <f>'Time Series Plot'!B42 &amp; " - Q" &amp; 'Time Series Plot'!C42</f>
        <v>2026 - Q1</v>
      </c>
      <c r="C36" s="12"/>
      <c r="D36" s="12"/>
      <c r="E36" s="32"/>
      <c r="F36" s="32"/>
      <c r="G36" s="37" t="str">
        <f>"Q" &amp;'Time Series Plot'!C40</f>
        <v>Q3</v>
      </c>
      <c r="H36" s="32"/>
      <c r="I36" s="32"/>
      <c r="J36" s="32"/>
      <c r="K36" s="12"/>
      <c r="L36" s="14"/>
    </row>
    <row r="37" spans="1:12">
      <c r="A37" s="11">
        <f>'Time Series Plot'!A43</f>
        <v>34</v>
      </c>
      <c r="B37" s="11" t="str">
        <f>'Time Series Plot'!B43 &amp; " - Q" &amp; 'Time Series Plot'!C43</f>
        <v>2026 - Q2</v>
      </c>
      <c r="C37" s="12"/>
      <c r="D37" s="12"/>
      <c r="E37" s="32"/>
      <c r="F37" s="32"/>
      <c r="G37" s="37" t="str">
        <f>"Q" &amp;'Time Series Plot'!C41</f>
        <v>Q4</v>
      </c>
      <c r="H37" s="32"/>
      <c r="I37" s="32"/>
      <c r="J37" s="32"/>
      <c r="K37" s="12"/>
      <c r="L37" s="14"/>
    </row>
    <row r="38" spans="1:12">
      <c r="A38" s="11">
        <f>'Time Series Plot'!A44</f>
        <v>35</v>
      </c>
      <c r="B38" s="11" t="str">
        <f>'Time Series Plot'!B44 &amp; " - Q" &amp; 'Time Series Plot'!C44</f>
        <v>2026 - Q3</v>
      </c>
      <c r="C38" s="12"/>
      <c r="D38" s="12"/>
      <c r="E38" s="32"/>
      <c r="F38" s="32"/>
      <c r="G38" s="37" t="str">
        <f>"Q" &amp;'Time Series Plot'!C42</f>
        <v>Q1</v>
      </c>
      <c r="H38" s="32"/>
      <c r="I38" s="32"/>
      <c r="J38" s="32"/>
      <c r="K38" s="12"/>
      <c r="L38" s="14"/>
    </row>
    <row r="39" spans="1:12">
      <c r="A39" s="25">
        <f>'Time Series Plot'!A45</f>
        <v>36</v>
      </c>
      <c r="B39" s="25" t="str">
        <f>'Time Series Plot'!B45 &amp; " - Q" &amp; 'Time Series Plot'!C45</f>
        <v>2026 - Q4</v>
      </c>
      <c r="C39" s="33"/>
      <c r="D39" s="33"/>
      <c r="E39" s="34"/>
      <c r="F39" s="34"/>
      <c r="G39" s="38" t="str">
        <f>"Q" &amp;'Time Series Plot'!C43</f>
        <v>Q2</v>
      </c>
      <c r="H39" s="34"/>
      <c r="I39" s="34"/>
      <c r="J39" s="34"/>
      <c r="K39" s="33"/>
      <c r="L39" s="14"/>
    </row>
    <row r="40" spans="1:12">
      <c r="A40" s="16"/>
      <c r="B40" s="16"/>
      <c r="C40" s="14"/>
      <c r="D40" s="14"/>
      <c r="E40" s="15"/>
      <c r="F40" s="15"/>
      <c r="G40" s="15"/>
      <c r="H40" s="15"/>
      <c r="I40" s="15"/>
      <c r="J40" s="15"/>
      <c r="K40" s="14"/>
      <c r="L40" s="14"/>
    </row>
    <row r="41" spans="1:12">
      <c r="A41" s="16"/>
      <c r="B41" s="16"/>
      <c r="C41" s="14"/>
      <c r="D41" s="14"/>
      <c r="E41" s="15"/>
      <c r="F41" s="15"/>
      <c r="G41" s="15"/>
      <c r="H41" s="15"/>
      <c r="I41" s="15"/>
      <c r="J41" s="15"/>
      <c r="K41" s="14"/>
      <c r="L41" s="14"/>
    </row>
    <row r="42" spans="1:12">
      <c r="A42" s="16"/>
      <c r="B42" s="16"/>
      <c r="C42" s="14"/>
      <c r="D42" s="14"/>
      <c r="E42" s="15"/>
      <c r="I42" s="15"/>
      <c r="J42" s="15"/>
      <c r="L42" s="14"/>
    </row>
    <row r="43" spans="1:12">
      <c r="A43" s="16"/>
      <c r="B43" s="16"/>
      <c r="C43" s="14"/>
      <c r="D43" s="14"/>
      <c r="E43" s="15"/>
      <c r="F43" s="41"/>
      <c r="G43" s="41"/>
      <c r="H43" s="41"/>
      <c r="I43" s="15"/>
      <c r="J43" s="15"/>
      <c r="K43" s="14"/>
      <c r="L43" s="14"/>
    </row>
    <row r="44" spans="1:12">
      <c r="A44" s="16"/>
      <c r="B44" s="16"/>
      <c r="C44" s="14"/>
      <c r="D44" s="14"/>
      <c r="E44" s="15"/>
      <c r="F44" s="42"/>
      <c r="G44" s="42"/>
      <c r="H44" s="42"/>
      <c r="I44" s="15"/>
      <c r="J44" s="15"/>
      <c r="K44" s="14"/>
      <c r="L44" s="14"/>
    </row>
    <row r="45" spans="1:12">
      <c r="A45" s="16"/>
      <c r="B45" s="16"/>
      <c r="C45" s="14"/>
      <c r="D45" s="14"/>
      <c r="E45" s="15"/>
      <c r="F45" s="42"/>
      <c r="G45" s="42"/>
      <c r="H45" s="42"/>
      <c r="I45" s="15"/>
      <c r="J45" s="15"/>
      <c r="K45" s="14"/>
      <c r="L45" s="14"/>
    </row>
    <row r="46" spans="1:12">
      <c r="A46" s="16"/>
      <c r="B46" s="16"/>
      <c r="C46" s="14"/>
      <c r="D46" s="14"/>
      <c r="E46" s="15"/>
      <c r="F46" s="15"/>
      <c r="G46" s="15"/>
      <c r="H46" s="15"/>
      <c r="I46" s="15"/>
      <c r="J46" s="15"/>
      <c r="K46" s="17"/>
      <c r="L46" s="17"/>
    </row>
    <row r="47" spans="1:12">
      <c r="A47" s="16"/>
      <c r="B47" s="16"/>
      <c r="C47" s="14"/>
      <c r="D47" s="14"/>
      <c r="E47" s="15"/>
      <c r="F47" s="15"/>
      <c r="G47" s="15"/>
      <c r="H47" s="15"/>
      <c r="I47" s="15"/>
      <c r="J47" s="15"/>
      <c r="K47" s="17"/>
      <c r="L47" s="17"/>
    </row>
    <row r="48" spans="1:12">
      <c r="A48" s="16"/>
      <c r="B48" s="16"/>
      <c r="C48" s="14"/>
      <c r="D48" s="14"/>
      <c r="E48" s="15"/>
      <c r="F48" s="15"/>
      <c r="G48" s="15"/>
      <c r="H48" s="15"/>
      <c r="I48" s="15"/>
      <c r="J48" s="15"/>
      <c r="K48" s="17"/>
      <c r="L48" s="17"/>
    </row>
    <row r="49" spans="1:12">
      <c r="A49" s="16"/>
      <c r="B49" s="16"/>
      <c r="C49" s="14"/>
      <c r="D49" s="14"/>
      <c r="E49" s="15"/>
      <c r="F49" s="15"/>
      <c r="G49" s="15"/>
      <c r="H49" s="15"/>
      <c r="I49" s="15"/>
      <c r="J49" s="15"/>
      <c r="K49" s="17"/>
      <c r="L49" s="17"/>
    </row>
    <row r="50" spans="1:12">
      <c r="A50" s="16"/>
      <c r="B50" s="16"/>
      <c r="C50" s="14"/>
      <c r="D50" s="14"/>
      <c r="E50" s="15"/>
      <c r="F50" s="15"/>
      <c r="G50" s="15"/>
      <c r="H50" s="15"/>
      <c r="I50" s="15"/>
      <c r="J50" s="15"/>
      <c r="K50" s="17"/>
      <c r="L50" s="17"/>
    </row>
    <row r="51" spans="1:12">
      <c r="A51" s="16"/>
      <c r="B51" s="16"/>
      <c r="C51" s="14"/>
      <c r="D51" s="14"/>
      <c r="E51" s="15"/>
      <c r="F51" s="15"/>
      <c r="G51" s="15"/>
      <c r="H51" s="15"/>
      <c r="I51" s="15"/>
      <c r="J51" s="15"/>
      <c r="K51" s="17"/>
      <c r="L51" s="17"/>
    </row>
    <row r="52" spans="1:12">
      <c r="F52" s="15"/>
      <c r="G52" s="15"/>
      <c r="H52" s="15"/>
    </row>
    <row r="53" spans="1:12">
      <c r="F53" s="15"/>
      <c r="G53" s="15"/>
      <c r="H53" s="15"/>
    </row>
    <row r="54" spans="1:12">
      <c r="F54" s="15"/>
      <c r="G54" s="15"/>
      <c r="H54" s="15"/>
    </row>
    <row r="55" spans="1:12">
      <c r="F55" s="15"/>
      <c r="G55" s="15"/>
      <c r="H55" s="15"/>
    </row>
    <row r="56" spans="1:12">
      <c r="F56" s="15"/>
      <c r="G56" s="15"/>
      <c r="H56" s="15"/>
    </row>
    <row r="57" spans="1:12">
      <c r="F57" s="15"/>
      <c r="G57" s="15"/>
      <c r="H57" s="15"/>
    </row>
    <row r="58" spans="1:12">
      <c r="F58" s="15"/>
      <c r="G58" s="15"/>
      <c r="H58" s="15"/>
    </row>
    <row r="59" spans="1:12">
      <c r="F59" s="15"/>
      <c r="G59" s="15"/>
      <c r="H59" s="15"/>
    </row>
    <row r="60" spans="1:12">
      <c r="F60" s="15"/>
      <c r="G60" s="15"/>
      <c r="H60" s="15"/>
    </row>
    <row r="61" spans="1:12">
      <c r="F61" s="15"/>
      <c r="G61" s="15"/>
      <c r="H61" s="15"/>
    </row>
    <row r="62" spans="1:12">
      <c r="F62" s="15"/>
      <c r="G62" s="15"/>
      <c r="H62" s="15"/>
    </row>
    <row r="63" spans="1:12">
      <c r="F63" s="15"/>
      <c r="G63" s="15"/>
      <c r="H63" s="15"/>
    </row>
    <row r="64" spans="1:12">
      <c r="F64" s="15"/>
      <c r="G64" s="15"/>
      <c r="H64" s="15"/>
    </row>
    <row r="65" spans="6:8">
      <c r="F65" s="15"/>
      <c r="G65" s="15"/>
      <c r="H65" s="15"/>
    </row>
    <row r="66" spans="6:8">
      <c r="F66" s="15"/>
      <c r="G66" s="15"/>
      <c r="H66" s="15"/>
    </row>
    <row r="67" spans="6:8">
      <c r="F67" s="15"/>
      <c r="G67" s="15"/>
      <c r="H67" s="15"/>
    </row>
    <row r="68" spans="6:8">
      <c r="F68" s="15"/>
      <c r="G68" s="15"/>
      <c r="H68" s="15"/>
    </row>
    <row r="69" spans="6:8">
      <c r="F69" s="15"/>
      <c r="G69" s="15"/>
      <c r="H69" s="15"/>
    </row>
    <row r="70" spans="6:8">
      <c r="F70" s="15"/>
      <c r="G70" s="15"/>
      <c r="H70" s="15"/>
    </row>
    <row r="71" spans="6:8">
      <c r="F71" s="15"/>
      <c r="G71" s="15"/>
      <c r="H71" s="15"/>
    </row>
    <row r="72" spans="6:8">
      <c r="F72" s="15"/>
      <c r="G72" s="15"/>
      <c r="H72" s="15"/>
    </row>
    <row r="73" spans="6:8">
      <c r="F73" s="15"/>
      <c r="G73" s="15"/>
      <c r="H73" s="15"/>
    </row>
    <row r="74" spans="6:8">
      <c r="F74" s="15"/>
      <c r="G74" s="15"/>
      <c r="H74" s="15"/>
    </row>
    <row r="75" spans="6:8">
      <c r="F75" s="15"/>
      <c r="G75" s="15"/>
      <c r="H75" s="15"/>
    </row>
    <row r="76" spans="6:8">
      <c r="F76" s="15"/>
      <c r="G76" s="15"/>
      <c r="H76" s="15"/>
    </row>
    <row r="77" spans="6:8">
      <c r="F77" s="15"/>
      <c r="G77" s="15"/>
      <c r="H77" s="15"/>
    </row>
    <row r="78" spans="6:8">
      <c r="F78" s="15"/>
      <c r="G78" s="15"/>
      <c r="H78" s="15"/>
    </row>
    <row r="79" spans="6:8">
      <c r="F79" s="15"/>
      <c r="G79" s="15"/>
      <c r="H79" s="15"/>
    </row>
  </sheetData>
  <mergeCells count="5">
    <mergeCell ref="Z10:Z11"/>
    <mergeCell ref="AD10:AD11"/>
    <mergeCell ref="AE10:AE11"/>
    <mergeCell ref="A1:K1"/>
    <mergeCell ref="O10:S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DDC0-EAAD-45E2-AD7B-A9A504FFE642}">
  <dimension ref="A1:BB113"/>
  <sheetViews>
    <sheetView zoomScale="85" zoomScaleNormal="85" workbookViewId="0">
      <pane xSplit="5" ySplit="8" topLeftCell="F21" activePane="bottomRight" state="frozen"/>
      <selection pane="bottomRight" activeCell="AL109" sqref="AL109:CS118"/>
      <selection pane="bottomLeft" activeCell="A9" sqref="A9"/>
      <selection pane="topRight" activeCell="F1" sqref="F1"/>
    </sheetView>
  </sheetViews>
  <sheetFormatPr defaultRowHeight="14.45"/>
  <cols>
    <col min="2" max="2" width="10.7109375" bestFit="1" customWidth="1"/>
    <col min="4" max="4" width="13.7109375" bestFit="1" customWidth="1"/>
    <col min="5" max="5" width="13.42578125" customWidth="1"/>
    <col min="6" max="6" width="10.28515625" customWidth="1"/>
    <col min="7" max="7" width="11.7109375" bestFit="1" customWidth="1"/>
    <col min="8" max="8" width="11.7109375" customWidth="1"/>
    <col min="9" max="9" width="11.42578125" customWidth="1"/>
    <col min="10" max="10" width="12.140625" bestFit="1" customWidth="1"/>
    <col min="11" max="11" width="12.140625" customWidth="1"/>
    <col min="12" max="12" width="11.85546875" customWidth="1"/>
    <col min="13" max="13" width="15.42578125" bestFit="1" customWidth="1"/>
    <col min="14" max="16" width="13.85546875" customWidth="1"/>
    <col min="17" max="17" width="10.85546875" customWidth="1"/>
    <col min="25" max="25" width="9.140625" bestFit="1" customWidth="1"/>
    <col min="26" max="26" width="15.28515625" bestFit="1" customWidth="1"/>
    <col min="27" max="27" width="23.28515625" bestFit="1" customWidth="1"/>
    <col min="30" max="30" width="24.5703125" customWidth="1"/>
    <col min="39" max="39" width="10.28515625" customWidth="1"/>
    <col min="40" max="40" width="11.7109375" bestFit="1" customWidth="1"/>
    <col min="41" max="41" width="10.85546875" customWidth="1"/>
    <col min="42" max="42" width="15.28515625" customWidth="1"/>
    <col min="43" max="43" width="11.28515625" customWidth="1"/>
  </cols>
  <sheetData>
    <row r="1" spans="1:54" ht="18" thickBot="1">
      <c r="F1" s="84"/>
      <c r="G1" s="84"/>
      <c r="H1" s="84"/>
      <c r="P1" s="6" t="s">
        <v>22</v>
      </c>
      <c r="Q1" s="6"/>
      <c r="R1" s="6"/>
      <c r="S1" s="6"/>
      <c r="T1" s="44"/>
      <c r="AA1" s="164" t="s">
        <v>23</v>
      </c>
      <c r="AB1" s="164"/>
      <c r="AC1" s="164"/>
      <c r="AD1" s="164"/>
      <c r="AE1" s="164"/>
      <c r="AM1" s="168" t="s">
        <v>24</v>
      </c>
      <c r="AN1" s="168"/>
      <c r="AO1" s="168"/>
      <c r="AP1" s="168"/>
      <c r="AQ1" s="168"/>
      <c r="AR1" s="168"/>
      <c r="AS1" s="168"/>
      <c r="AT1" s="75"/>
      <c r="AV1" s="169" t="s">
        <v>25</v>
      </c>
      <c r="AW1" s="169"/>
      <c r="AX1" s="169"/>
      <c r="AY1" s="169"/>
      <c r="AZ1" s="169"/>
      <c r="BA1" s="169"/>
      <c r="BB1" s="169"/>
    </row>
    <row r="2" spans="1:54" ht="15" thickTop="1">
      <c r="J2" s="45"/>
      <c r="K2" s="45"/>
      <c r="L2" s="45"/>
      <c r="AW2" s="45" t="s">
        <v>26</v>
      </c>
      <c r="AX2" s="45" t="s">
        <v>27</v>
      </c>
      <c r="AY2" s="129" t="s">
        <v>28</v>
      </c>
    </row>
    <row r="3" spans="1:54">
      <c r="Q3" s="45" t="s">
        <v>29</v>
      </c>
      <c r="R3" s="141">
        <f>Q25</f>
        <v>71.55</v>
      </c>
      <c r="AA3" s="45" t="s">
        <v>29</v>
      </c>
      <c r="AB3" s="130">
        <f>AB25</f>
        <v>63.896230320365369</v>
      </c>
      <c r="AD3" s="45" t="s">
        <v>30</v>
      </c>
      <c r="AE3" s="57">
        <v>0.6</v>
      </c>
      <c r="AM3" s="45" t="s">
        <v>31</v>
      </c>
      <c r="AN3" s="133">
        <f>AN25</f>
        <v>37.03126741745718</v>
      </c>
      <c r="AQ3" s="45" t="s">
        <v>30</v>
      </c>
      <c r="AR3" s="57">
        <v>0.5</v>
      </c>
      <c r="AV3" s="45" t="s">
        <v>29</v>
      </c>
      <c r="AW3" s="140">
        <f>R3</f>
        <v>71.55</v>
      </c>
      <c r="AX3" s="78">
        <f>AB3</f>
        <v>63.896230320365369</v>
      </c>
      <c r="AY3" s="139">
        <f>MAD_LES</f>
        <v>37.03126741745718</v>
      </c>
    </row>
    <row r="4" spans="1:54">
      <c r="Q4" s="45" t="s">
        <v>32</v>
      </c>
      <c r="R4" s="142">
        <f>R25</f>
        <v>0.30115299847411348</v>
      </c>
      <c r="AA4" s="45" t="s">
        <v>32</v>
      </c>
      <c r="AB4" s="131">
        <f>AC25</f>
        <v>0.26687122317539597</v>
      </c>
      <c r="AD4" s="69"/>
      <c r="AE4" s="69"/>
      <c r="AM4" s="45" t="s">
        <v>33</v>
      </c>
      <c r="AN4" s="134">
        <f>AO25</f>
        <v>0.15326717294021047</v>
      </c>
      <c r="AQ4" s="45" t="s">
        <v>34</v>
      </c>
      <c r="AR4" s="57">
        <v>0.8</v>
      </c>
      <c r="AV4" s="45" t="s">
        <v>32</v>
      </c>
      <c r="AW4" s="144">
        <f>R4</f>
        <v>0.30115299847411348</v>
      </c>
      <c r="AX4" s="136">
        <f>AB4</f>
        <v>0.26687122317539597</v>
      </c>
      <c r="AY4" s="138">
        <f>MAPE_LES</f>
        <v>0.15326717294021047</v>
      </c>
    </row>
    <row r="5" spans="1:54">
      <c r="Q5" t="s">
        <v>35</v>
      </c>
      <c r="R5" s="143">
        <f>S25</f>
        <v>6051.0743749999983</v>
      </c>
      <c r="AA5" t="s">
        <v>35</v>
      </c>
      <c r="AB5" s="132">
        <f>AE25</f>
        <v>5014.4001241531787</v>
      </c>
      <c r="AM5" s="45" t="s">
        <v>36</v>
      </c>
      <c r="AN5" s="135">
        <f>AQ25</f>
        <v>1847.6965007816912</v>
      </c>
      <c r="AP5">
        <f>AP6*52</f>
        <v>41.6</v>
      </c>
      <c r="AQ5">
        <f>AQ6*52</f>
        <v>10.4</v>
      </c>
      <c r="AV5" s="45" t="s">
        <v>37</v>
      </c>
      <c r="AW5" s="145">
        <f>R6</f>
        <v>77.788651968008793</v>
      </c>
      <c r="AX5" s="137">
        <f>AB6</f>
        <v>70.812429164329473</v>
      </c>
      <c r="AY5" s="139">
        <f>RMSE_LES</f>
        <v>42.984840360081499</v>
      </c>
    </row>
    <row r="6" spans="1:54">
      <c r="Q6" s="45" t="s">
        <v>37</v>
      </c>
      <c r="R6" s="143">
        <f>T25</f>
        <v>77.788651968008793</v>
      </c>
      <c r="S6" s="7"/>
      <c r="T6" s="7"/>
      <c r="AA6" s="45" t="s">
        <v>37</v>
      </c>
      <c r="AB6" s="132">
        <f>AD25</f>
        <v>70.812429164329473</v>
      </c>
      <c r="AM6" s="45" t="s">
        <v>38</v>
      </c>
      <c r="AN6" s="135">
        <f>AP25</f>
        <v>42.984840360081499</v>
      </c>
      <c r="AP6" s="58">
        <v>0.8</v>
      </c>
      <c r="AQ6" s="58">
        <v>0.2</v>
      </c>
    </row>
    <row r="7" spans="1:54">
      <c r="D7" s="7" t="s">
        <v>39</v>
      </c>
      <c r="E7" s="7" t="s">
        <v>40</v>
      </c>
      <c r="M7" s="46"/>
    </row>
    <row r="8" spans="1:54" ht="28.9">
      <c r="A8" s="47" t="s">
        <v>1</v>
      </c>
      <c r="B8" s="47" t="s">
        <v>2</v>
      </c>
      <c r="C8" s="48" t="s">
        <v>4</v>
      </c>
      <c r="D8" s="48" t="s">
        <v>41</v>
      </c>
      <c r="E8" s="48" t="s">
        <v>42</v>
      </c>
      <c r="F8" s="48" t="s">
        <v>43</v>
      </c>
      <c r="G8" s="48" t="s">
        <v>44</v>
      </c>
      <c r="H8" s="48"/>
      <c r="I8" s="45" t="s">
        <v>45</v>
      </c>
      <c r="J8" s="45" t="s">
        <v>46</v>
      </c>
      <c r="K8" s="45"/>
      <c r="L8" s="83" t="s">
        <v>47</v>
      </c>
      <c r="M8" s="83" t="s">
        <v>48</v>
      </c>
      <c r="N8" s="83" t="s">
        <v>49</v>
      </c>
      <c r="P8" s="45"/>
    </row>
    <row r="9" spans="1:54">
      <c r="A9">
        <f>'A.1 Time Series Exploration'!A4</f>
        <v>1</v>
      </c>
      <c r="B9" s="49" t="str">
        <f>'A.1 Time Series Exploration'!B4</f>
        <v>2018 - Q1</v>
      </c>
      <c r="C9" s="17">
        <f>'A.1 Time Series Exploration'!C4</f>
        <v>365.6</v>
      </c>
      <c r="D9" s="61">
        <f>C9</f>
        <v>365.6</v>
      </c>
      <c r="F9" s="50"/>
      <c r="I9" s="79">
        <f>D9</f>
        <v>365.6</v>
      </c>
      <c r="L9" s="80">
        <f>C9</f>
        <v>365.6</v>
      </c>
      <c r="M9" s="61">
        <v>0</v>
      </c>
    </row>
    <row r="10" spans="1:54">
      <c r="A10">
        <f>'A.1 Time Series Exploration'!A5</f>
        <v>2</v>
      </c>
      <c r="B10" s="49" t="str">
        <f>'A.1 Time Series Exploration'!B5</f>
        <v>2018 - Q2</v>
      </c>
      <c r="C10" s="17">
        <f>'A.1 Time Series Exploration'!C5</f>
        <v>412.5</v>
      </c>
      <c r="D10" s="61">
        <f t="shared" ref="D10:D28" si="0">C10</f>
        <v>412.5</v>
      </c>
      <c r="F10" s="50"/>
      <c r="I10" s="78">
        <f t="shared" ref="I10:I28" si="1">alpha__SES*D9+(1-alpha__SES)*I9</f>
        <v>365.6</v>
      </c>
      <c r="L10" s="77">
        <f t="shared" ref="L10:L28" si="2">alpha__LES*D10+(1-alpha__LES)*(L9+M9)</f>
        <v>389.05</v>
      </c>
      <c r="M10" s="62">
        <f t="shared" ref="M10:M28" si="3">beta__LES*(L10-L9)+(1-beta__LES)*M9</f>
        <v>18.759999999999991</v>
      </c>
    </row>
    <row r="11" spans="1:54">
      <c r="A11">
        <f>'A.1 Time Series Exploration'!A6</f>
        <v>3</v>
      </c>
      <c r="B11" s="49" t="str">
        <f>'A.1 Time Series Exploration'!B6</f>
        <v>2018 - Q3</v>
      </c>
      <c r="C11" s="17">
        <f>'A.1 Time Series Exploration'!C6</f>
        <v>349</v>
      </c>
      <c r="D11" s="61">
        <f t="shared" si="0"/>
        <v>349</v>
      </c>
      <c r="F11" s="50"/>
      <c r="I11" s="78">
        <f t="shared" si="1"/>
        <v>393.74</v>
      </c>
      <c r="L11" s="77">
        <f t="shared" si="2"/>
        <v>378.40499999999997</v>
      </c>
      <c r="M11" s="62">
        <f t="shared" si="3"/>
        <v>-4.7640000000000349</v>
      </c>
    </row>
    <row r="12" spans="1:54">
      <c r="A12">
        <f>'A.1 Time Series Exploration'!A7</f>
        <v>4</v>
      </c>
      <c r="B12" s="49" t="str">
        <f>'A.1 Time Series Exploration'!B7</f>
        <v>2018 - Q4</v>
      </c>
      <c r="C12" s="17">
        <f>'A.1 Time Series Exploration'!C7</f>
        <v>271.10000000000002</v>
      </c>
      <c r="D12" s="61">
        <f t="shared" si="0"/>
        <v>271.10000000000002</v>
      </c>
      <c r="F12" s="50"/>
      <c r="I12" s="78">
        <f t="shared" si="1"/>
        <v>366.89600000000002</v>
      </c>
      <c r="L12" s="77">
        <f t="shared" si="2"/>
        <v>322.37049999999999</v>
      </c>
      <c r="M12" s="62">
        <f t="shared" si="3"/>
        <v>-45.780399999999993</v>
      </c>
    </row>
    <row r="13" spans="1:54">
      <c r="A13">
        <f>'A.1 Time Series Exploration'!A8</f>
        <v>5</v>
      </c>
      <c r="B13" s="49" t="str">
        <f>'A.1 Time Series Exploration'!B8</f>
        <v>2019 - Q1</v>
      </c>
      <c r="C13" s="17">
        <f>'A.1 Time Series Exploration'!C8</f>
        <v>231.5</v>
      </c>
      <c r="D13" s="61">
        <f t="shared" si="0"/>
        <v>231.5</v>
      </c>
      <c r="F13" s="140">
        <f>AVERAGE(D9:D12)</f>
        <v>349.54999999999995</v>
      </c>
      <c r="I13" s="78">
        <f t="shared" si="1"/>
        <v>309.41840000000002</v>
      </c>
      <c r="L13" s="77">
        <f t="shared" si="2"/>
        <v>254.04505</v>
      </c>
      <c r="M13" s="62">
        <f t="shared" si="3"/>
        <v>-63.816439999999993</v>
      </c>
    </row>
    <row r="14" spans="1:54">
      <c r="A14">
        <f>'A.1 Time Series Exploration'!A9</f>
        <v>6</v>
      </c>
      <c r="B14" s="49" t="str">
        <f>'A.1 Time Series Exploration'!B9</f>
        <v>2019 - Q2</v>
      </c>
      <c r="C14" s="17">
        <f>'A.1 Time Series Exploration'!C9</f>
        <v>294.39999999999998</v>
      </c>
      <c r="D14" s="61">
        <f t="shared" si="0"/>
        <v>294.39999999999998</v>
      </c>
      <c r="F14" s="140">
        <f t="shared" ref="F14:F28" si="4">AVERAGE(D10:D13)</f>
        <v>316.02499999999998</v>
      </c>
      <c r="I14" s="78">
        <f t="shared" si="1"/>
        <v>262.66736000000003</v>
      </c>
      <c r="L14" s="77">
        <f t="shared" si="2"/>
        <v>242.31430499999999</v>
      </c>
      <c r="M14" s="62">
        <f t="shared" si="3"/>
        <v>-22.147884000000005</v>
      </c>
    </row>
    <row r="15" spans="1:54">
      <c r="A15">
        <f>'A.1 Time Series Exploration'!A10</f>
        <v>7</v>
      </c>
      <c r="B15" s="49" t="str">
        <f>'A.1 Time Series Exploration'!B10</f>
        <v>2019 - Q3</v>
      </c>
      <c r="C15" s="17">
        <f>'A.1 Time Series Exploration'!C10</f>
        <v>233.1</v>
      </c>
      <c r="D15" s="61">
        <f t="shared" si="0"/>
        <v>233.1</v>
      </c>
      <c r="F15" s="140">
        <f t="shared" si="4"/>
        <v>286.5</v>
      </c>
      <c r="I15" s="78">
        <f t="shared" si="1"/>
        <v>281.70694400000002</v>
      </c>
      <c r="L15" s="77">
        <f t="shared" si="2"/>
        <v>226.63321049999999</v>
      </c>
      <c r="M15" s="62">
        <f t="shared" si="3"/>
        <v>-16.974452400000001</v>
      </c>
    </row>
    <row r="16" spans="1:54">
      <c r="A16">
        <f>'A.1 Time Series Exploration'!A11</f>
        <v>8</v>
      </c>
      <c r="B16" s="49" t="str">
        <f>'A.1 Time Series Exploration'!B11</f>
        <v>2019 - Q4</v>
      </c>
      <c r="C16" s="17">
        <f>'A.1 Time Series Exploration'!C11</f>
        <v>146.4</v>
      </c>
      <c r="D16" s="61">
        <f t="shared" si="0"/>
        <v>146.4</v>
      </c>
      <c r="F16" s="140">
        <f t="shared" si="4"/>
        <v>257.52499999999998</v>
      </c>
      <c r="I16" s="78">
        <f t="shared" si="1"/>
        <v>252.54277759999999</v>
      </c>
      <c r="L16" s="77">
        <f t="shared" si="2"/>
        <v>178.02937904999999</v>
      </c>
      <c r="M16" s="62">
        <f t="shared" si="3"/>
        <v>-42.277955640000002</v>
      </c>
    </row>
    <row r="17" spans="1:44">
      <c r="A17">
        <f>'A.1 Time Series Exploration'!A12</f>
        <v>9</v>
      </c>
      <c r="B17" s="49" t="str">
        <f>'A.1 Time Series Exploration'!B12</f>
        <v>2020 - Q1</v>
      </c>
      <c r="C17" s="17">
        <f>'A.1 Time Series Exploration'!C12</f>
        <v>122.20000000000002</v>
      </c>
      <c r="D17" s="61">
        <f t="shared" si="0"/>
        <v>122.20000000000002</v>
      </c>
      <c r="F17" s="140">
        <f t="shared" si="4"/>
        <v>226.35</v>
      </c>
      <c r="I17" s="78">
        <f t="shared" si="1"/>
        <v>188.85711104000001</v>
      </c>
      <c r="L17" s="77">
        <f t="shared" si="2"/>
        <v>128.97571170499998</v>
      </c>
      <c r="M17" s="62">
        <f t="shared" si="3"/>
        <v>-47.698525004000004</v>
      </c>
    </row>
    <row r="18" spans="1:44">
      <c r="A18">
        <f>'A.1 Time Series Exploration'!A13</f>
        <v>10</v>
      </c>
      <c r="B18" s="49" t="str">
        <f>'A.1 Time Series Exploration'!B13</f>
        <v>2020 - Q2</v>
      </c>
      <c r="C18" s="17">
        <f>'A.1 Time Series Exploration'!C13</f>
        <v>158.6</v>
      </c>
      <c r="D18" s="61">
        <f t="shared" si="0"/>
        <v>158.6</v>
      </c>
      <c r="F18" s="140">
        <f t="shared" si="4"/>
        <v>199.02500000000001</v>
      </c>
      <c r="I18" s="78">
        <f t="shared" si="1"/>
        <v>148.86284441600003</v>
      </c>
      <c r="L18" s="77">
        <f t="shared" si="2"/>
        <v>119.93859335049999</v>
      </c>
      <c r="M18" s="62">
        <f t="shared" si="3"/>
        <v>-16.769399684399993</v>
      </c>
    </row>
    <row r="19" spans="1:44">
      <c r="A19">
        <f>'A.1 Time Series Exploration'!A14</f>
        <v>11</v>
      </c>
      <c r="B19" s="49" t="str">
        <f>'A.1 Time Series Exploration'!B14</f>
        <v>2020 - Q3</v>
      </c>
      <c r="C19" s="17">
        <f>'A.1 Time Series Exploration'!C14</f>
        <v>163</v>
      </c>
      <c r="D19" s="61">
        <f t="shared" si="0"/>
        <v>163</v>
      </c>
      <c r="F19" s="140">
        <f t="shared" si="4"/>
        <v>165.07500000000002</v>
      </c>
      <c r="I19" s="78">
        <f t="shared" si="1"/>
        <v>154.70513776640001</v>
      </c>
      <c r="L19" s="77">
        <f t="shared" si="2"/>
        <v>133.08459683305</v>
      </c>
      <c r="M19" s="62">
        <f t="shared" si="3"/>
        <v>7.1629228491600143</v>
      </c>
    </row>
    <row r="20" spans="1:44">
      <c r="A20">
        <f>'A.1 Time Series Exploration'!A15</f>
        <v>12</v>
      </c>
      <c r="B20" s="49" t="str">
        <f>'A.1 Time Series Exploration'!B15</f>
        <v>2020 - Q4</v>
      </c>
      <c r="C20" s="17">
        <f>'A.1 Time Series Exploration'!C15</f>
        <v>139.19999999999999</v>
      </c>
      <c r="D20" s="61">
        <f t="shared" si="0"/>
        <v>139.19999999999999</v>
      </c>
      <c r="F20" s="140">
        <f t="shared" si="4"/>
        <v>147.55000000000001</v>
      </c>
      <c r="I20" s="78">
        <f t="shared" si="1"/>
        <v>159.68205510656</v>
      </c>
      <c r="L20" s="77">
        <f t="shared" si="2"/>
        <v>139.72375984110499</v>
      </c>
      <c r="M20" s="62">
        <f t="shared" si="3"/>
        <v>6.7439149762759971</v>
      </c>
    </row>
    <row r="21" spans="1:44">
      <c r="A21">
        <f>'A.1 Time Series Exploration'!A16</f>
        <v>13</v>
      </c>
      <c r="B21" s="49" t="str">
        <f>'A.1 Time Series Exploration'!B16</f>
        <v>2021 - Q1</v>
      </c>
      <c r="C21" s="17">
        <f>'A.1 Time Series Exploration'!C16</f>
        <v>149.79999999999998</v>
      </c>
      <c r="D21" s="61">
        <f t="shared" si="0"/>
        <v>149.79999999999998</v>
      </c>
      <c r="F21" s="140">
        <f t="shared" si="4"/>
        <v>145.75</v>
      </c>
      <c r="I21" s="78">
        <f t="shared" si="1"/>
        <v>147.392822042624</v>
      </c>
      <c r="L21" s="77">
        <f t="shared" si="2"/>
        <v>148.13383740869048</v>
      </c>
      <c r="M21" s="62">
        <f t="shared" si="3"/>
        <v>8.076845049323591</v>
      </c>
    </row>
    <row r="22" spans="1:44">
      <c r="A22">
        <f>'A.1 Time Series Exploration'!A17</f>
        <v>14</v>
      </c>
      <c r="B22" s="49" t="str">
        <f>'A.1 Time Series Exploration'!B17</f>
        <v>2021 - Q2</v>
      </c>
      <c r="C22" s="17">
        <f>'A.1 Time Series Exploration'!C17</f>
        <v>169.2</v>
      </c>
      <c r="D22" s="61">
        <f t="shared" si="0"/>
        <v>169.2</v>
      </c>
      <c r="F22" s="140">
        <f t="shared" si="4"/>
        <v>152.65</v>
      </c>
      <c r="I22" s="78">
        <f t="shared" si="1"/>
        <v>148.83712881704957</v>
      </c>
      <c r="L22" s="77">
        <f t="shared" si="2"/>
        <v>162.70534122900705</v>
      </c>
      <c r="M22" s="62">
        <f t="shared" si="3"/>
        <v>13.27257206611797</v>
      </c>
    </row>
    <row r="23" spans="1:44">
      <c r="A23">
        <f>'A.1 Time Series Exploration'!A18</f>
        <v>15</v>
      </c>
      <c r="B23" s="49" t="str">
        <f>'A.1 Time Series Exploration'!B18</f>
        <v>2021 - Q3</v>
      </c>
      <c r="C23" s="17">
        <f>'A.1 Time Series Exploration'!C18</f>
        <v>153.80000000000001</v>
      </c>
      <c r="D23" s="61">
        <f t="shared" si="0"/>
        <v>153.80000000000001</v>
      </c>
      <c r="F23" s="140">
        <f t="shared" si="4"/>
        <v>155.30000000000001</v>
      </c>
      <c r="I23" s="78">
        <f t="shared" si="1"/>
        <v>161.05485152681985</v>
      </c>
      <c r="L23" s="77">
        <f t="shared" si="2"/>
        <v>164.88895664756251</v>
      </c>
      <c r="M23" s="62">
        <f t="shared" si="3"/>
        <v>4.4014067480679628</v>
      </c>
      <c r="P23" s="45" t="s">
        <v>50</v>
      </c>
      <c r="S23" s="45" t="s">
        <v>51</v>
      </c>
      <c r="AA23" s="45" t="s">
        <v>50</v>
      </c>
      <c r="AD23" s="45" t="s">
        <v>51</v>
      </c>
      <c r="AM23" s="45" t="s">
        <v>50</v>
      </c>
      <c r="AP23" s="45" t="s">
        <v>51</v>
      </c>
      <c r="AQ23" s="82"/>
    </row>
    <row r="24" spans="1:44">
      <c r="A24">
        <f>'A.1 Time Series Exploration'!A19</f>
        <v>16</v>
      </c>
      <c r="B24" s="49" t="str">
        <f>'A.1 Time Series Exploration'!B19</f>
        <v>2021 - Q4</v>
      </c>
      <c r="C24" s="17">
        <f>'A.1 Time Series Exploration'!C19</f>
        <v>132</v>
      </c>
      <c r="D24" s="61">
        <f t="shared" si="0"/>
        <v>132</v>
      </c>
      <c r="F24" s="140">
        <f t="shared" si="4"/>
        <v>153</v>
      </c>
      <c r="I24" s="78">
        <f t="shared" si="1"/>
        <v>156.70194061072795</v>
      </c>
      <c r="L24" s="77">
        <f t="shared" si="2"/>
        <v>150.64518169781525</v>
      </c>
      <c r="M24" s="62">
        <f t="shared" si="3"/>
        <v>-10.514738610184217</v>
      </c>
      <c r="P24" s="52" t="s">
        <v>52</v>
      </c>
      <c r="Q24" s="52" t="s">
        <v>53</v>
      </c>
      <c r="R24" s="52" t="s">
        <v>54</v>
      </c>
      <c r="S24" s="52" t="s">
        <v>55</v>
      </c>
      <c r="T24" s="52" t="s">
        <v>56</v>
      </c>
      <c r="AA24" s="52" t="s">
        <v>57</v>
      </c>
      <c r="AB24" s="52" t="s">
        <v>58</v>
      </c>
      <c r="AC24" s="52" t="s">
        <v>54</v>
      </c>
      <c r="AD24" s="72" t="s">
        <v>59</v>
      </c>
      <c r="AE24" s="74" t="s">
        <v>60</v>
      </c>
      <c r="AF24" s="73"/>
      <c r="AM24" s="52" t="s">
        <v>61</v>
      </c>
      <c r="AN24" s="52" t="s">
        <v>31</v>
      </c>
      <c r="AO24" s="52" t="s">
        <v>62</v>
      </c>
      <c r="AP24" s="70" t="s">
        <v>38</v>
      </c>
      <c r="AQ24" s="74" t="s">
        <v>36</v>
      </c>
    </row>
    <row r="25" spans="1:44">
      <c r="A25">
        <f>'A.1 Time Series Exploration'!A20</f>
        <v>17</v>
      </c>
      <c r="B25" s="49" t="str">
        <f>'A.1 Time Series Exploration'!B20</f>
        <v>2022 - Q1</v>
      </c>
      <c r="C25" s="17">
        <f>'A.1 Time Series Exploration'!C20</f>
        <v>128.4</v>
      </c>
      <c r="D25" s="61">
        <f t="shared" si="0"/>
        <v>128.4</v>
      </c>
      <c r="F25" s="140">
        <f t="shared" si="4"/>
        <v>151.19999999999999</v>
      </c>
      <c r="I25" s="78">
        <f t="shared" si="1"/>
        <v>141.88077624429118</v>
      </c>
      <c r="L25" s="77">
        <f t="shared" si="2"/>
        <v>134.26522154381553</v>
      </c>
      <c r="M25" s="62">
        <f t="shared" si="3"/>
        <v>-15.206915845236619</v>
      </c>
      <c r="P25" s="146">
        <f>AVERAGE(P29:P36)</f>
        <v>-71.55</v>
      </c>
      <c r="Q25" s="146">
        <f>AVERAGE(Q29:Q36)</f>
        <v>71.55</v>
      </c>
      <c r="R25" s="147">
        <f>AVERAGE(R29:R36)</f>
        <v>0.30115299847411348</v>
      </c>
      <c r="S25" s="148">
        <f>AVERAGE(S29:S36)</f>
        <v>6051.0743749999983</v>
      </c>
      <c r="T25" s="149">
        <f>SQRT(S25)</f>
        <v>77.788651968008793</v>
      </c>
      <c r="AA25" s="150">
        <f>AVERAGE(AA29:AA36)</f>
        <v>-63.896230320365369</v>
      </c>
      <c r="AB25" s="150">
        <f>AVERAGE(AB29:AB36)</f>
        <v>63.896230320365369</v>
      </c>
      <c r="AC25" s="151">
        <f>AVERAGE(AC29:AC36)</f>
        <v>0.26687122317539597</v>
      </c>
      <c r="AD25" s="152">
        <f>SQRT(AE25)</f>
        <v>70.812429164329473</v>
      </c>
      <c r="AE25" s="153">
        <f>AVERAGE(AD29:AD36)</f>
        <v>5014.4001241531787</v>
      </c>
      <c r="AM25" s="154">
        <f>AVERAGE(AM29:AM36)</f>
        <v>-37.03126741745718</v>
      </c>
      <c r="AN25" s="154">
        <f>AVERAGE(AN29:AN36)</f>
        <v>37.03126741745718</v>
      </c>
      <c r="AO25" s="155">
        <f>AVERAGE(AO29:AO36)</f>
        <v>0.15326717294021047</v>
      </c>
      <c r="AP25" s="156">
        <f>SQRT(AQ25)</f>
        <v>42.984840360081499</v>
      </c>
      <c r="AQ25" s="157">
        <f>AVERAGE(AP29:AP36)</f>
        <v>1847.6965007816912</v>
      </c>
      <c r="AR25" s="73"/>
    </row>
    <row r="26" spans="1:44">
      <c r="A26">
        <f>'A.1 Time Series Exploration'!A21</f>
        <v>18</v>
      </c>
      <c r="B26" s="49" t="str">
        <f>'A.1 Time Series Exploration'!B21</f>
        <v>2022 - Q2</v>
      </c>
      <c r="C26" s="17">
        <f>'A.1 Time Series Exploration'!C21</f>
        <v>171.8</v>
      </c>
      <c r="D26" s="61">
        <f t="shared" si="0"/>
        <v>171.8</v>
      </c>
      <c r="F26" s="140">
        <f t="shared" si="4"/>
        <v>145.85</v>
      </c>
      <c r="I26" s="78">
        <f t="shared" si="1"/>
        <v>133.79231049771647</v>
      </c>
      <c r="L26" s="77">
        <f t="shared" si="2"/>
        <v>145.42915284928947</v>
      </c>
      <c r="M26" s="62">
        <f t="shared" si="3"/>
        <v>5.8897618753318266</v>
      </c>
      <c r="P26" t="s">
        <v>63</v>
      </c>
      <c r="AA26" t="s">
        <v>63</v>
      </c>
      <c r="AE26" s="71"/>
      <c r="AM26" t="s">
        <v>63</v>
      </c>
      <c r="AQ26" s="71"/>
    </row>
    <row r="27" spans="1:44">
      <c r="A27">
        <f>'A.1 Time Series Exploration'!A22</f>
        <v>19</v>
      </c>
      <c r="B27" s="49" t="str">
        <f>'A.1 Time Series Exploration'!B22</f>
        <v>2022 - Q3</v>
      </c>
      <c r="C27" s="17">
        <f>'A.1 Time Series Exploration'!C22</f>
        <v>168.4</v>
      </c>
      <c r="D27" s="61">
        <f t="shared" si="0"/>
        <v>168.4</v>
      </c>
      <c r="F27" s="140">
        <f t="shared" si="4"/>
        <v>146.5</v>
      </c>
      <c r="I27" s="78">
        <f t="shared" si="1"/>
        <v>156.59692419908657</v>
      </c>
      <c r="L27" s="77">
        <f t="shared" si="2"/>
        <v>159.85945736231065</v>
      </c>
      <c r="M27" s="62">
        <f t="shared" si="3"/>
        <v>12.722195985483314</v>
      </c>
      <c r="P27" s="45" t="s">
        <v>64</v>
      </c>
      <c r="Q27" s="45" t="s">
        <v>65</v>
      </c>
      <c r="R27" s="45" t="s">
        <v>66</v>
      </c>
      <c r="S27" s="45" t="s">
        <v>67</v>
      </c>
      <c r="AA27" s="45" t="s">
        <v>64</v>
      </c>
      <c r="AB27" s="45" t="s">
        <v>65</v>
      </c>
      <c r="AC27" s="45" t="s">
        <v>66</v>
      </c>
      <c r="AD27" s="45" t="s">
        <v>67</v>
      </c>
      <c r="AM27" s="45" t="s">
        <v>64</v>
      </c>
      <c r="AN27" s="45" t="s">
        <v>65</v>
      </c>
      <c r="AO27" s="45" t="s">
        <v>66</v>
      </c>
      <c r="AP27" s="45" t="s">
        <v>67</v>
      </c>
    </row>
    <row r="28" spans="1:44" ht="43.15">
      <c r="A28">
        <f>'A.1 Time Series Exploration'!A23</f>
        <v>20</v>
      </c>
      <c r="B28" s="49" t="str">
        <f>'A.1 Time Series Exploration'!B23</f>
        <v>2022 - Q4</v>
      </c>
      <c r="C28" s="17">
        <f>'A.1 Time Series Exploration'!C23</f>
        <v>155.5</v>
      </c>
      <c r="D28" s="61">
        <f t="shared" si="0"/>
        <v>155.5</v>
      </c>
      <c r="E28" s="65">
        <f>C28</f>
        <v>155.5</v>
      </c>
      <c r="F28" s="140">
        <f t="shared" si="4"/>
        <v>150.15</v>
      </c>
      <c r="I28" s="78">
        <f t="shared" si="1"/>
        <v>163.67876967963463</v>
      </c>
      <c r="J28" s="51">
        <f>I28</f>
        <v>163.67876967963463</v>
      </c>
      <c r="K28" s="51"/>
      <c r="L28" s="77">
        <f t="shared" si="2"/>
        <v>164.04082667389699</v>
      </c>
      <c r="M28" s="62">
        <f t="shared" si="3"/>
        <v>5.8895346463657319</v>
      </c>
      <c r="N28" s="53">
        <f>L28</f>
        <v>164.04082667389699</v>
      </c>
      <c r="P28" s="54" t="s">
        <v>68</v>
      </c>
      <c r="Q28" s="54" t="s">
        <v>69</v>
      </c>
      <c r="R28" s="54" t="s">
        <v>70</v>
      </c>
      <c r="S28" s="54" t="s">
        <v>71</v>
      </c>
      <c r="AA28" s="54" t="s">
        <v>68</v>
      </c>
      <c r="AB28" s="54" t="s">
        <v>69</v>
      </c>
      <c r="AC28" s="54" t="s">
        <v>70</v>
      </c>
      <c r="AD28" s="54" t="s">
        <v>71</v>
      </c>
      <c r="AM28" s="54" t="s">
        <v>68</v>
      </c>
      <c r="AN28" s="54" t="s">
        <v>69</v>
      </c>
      <c r="AO28" s="54" t="s">
        <v>70</v>
      </c>
      <c r="AP28" s="54" t="s">
        <v>71</v>
      </c>
    </row>
    <row r="29" spans="1:44">
      <c r="A29">
        <f>'A.1 Time Series Exploration'!A24</f>
        <v>21</v>
      </c>
      <c r="B29" s="49" t="str">
        <f>'A.1 Time Series Exploration'!B24</f>
        <v>2023 - Q1</v>
      </c>
      <c r="C29" s="17">
        <f>'A.1 Time Series Exploration'!C24</f>
        <v>170.8</v>
      </c>
      <c r="E29" s="65">
        <f t="shared" ref="E29:E36" si="5">C29</f>
        <v>170.8</v>
      </c>
      <c r="F29" s="140">
        <f>AVERAGE(D25:D28)</f>
        <v>156.02500000000001</v>
      </c>
      <c r="G29" s="51">
        <f>F29</f>
        <v>156.02500000000001</v>
      </c>
      <c r="H29" s="51"/>
      <c r="J29" s="51">
        <f>J28</f>
        <v>163.67876967963463</v>
      </c>
      <c r="K29" s="51"/>
      <c r="L29" s="76"/>
      <c r="M29" s="62">
        <f>M28</f>
        <v>5.8895346463657319</v>
      </c>
      <c r="N29" s="53">
        <f>M28+N28</f>
        <v>169.9303613202627</v>
      </c>
      <c r="P29" s="51">
        <f t="shared" ref="P29:P36" si="6">G29-E29</f>
        <v>-14.775000000000006</v>
      </c>
      <c r="Q29" s="51">
        <f>ABS(P29)</f>
        <v>14.775000000000006</v>
      </c>
      <c r="R29" s="55">
        <f t="shared" ref="R29:R36" si="7">Q29/E29</f>
        <v>8.6504683840749441E-2</v>
      </c>
      <c r="S29" s="56">
        <f>P29^2</f>
        <v>218.30062500000017</v>
      </c>
      <c r="AA29" s="51">
        <f>J29-E29</f>
        <v>-7.1212303203653846</v>
      </c>
      <c r="AB29" s="51">
        <f>ABS(AA29)</f>
        <v>7.1212303203653846</v>
      </c>
      <c r="AC29" s="55">
        <f t="shared" ref="AC29:AC36" si="8">AB29/E29</f>
        <v>4.1693385950617001E-2</v>
      </c>
      <c r="AD29" s="56">
        <f>AA29^2</f>
        <v>50.711921275691282</v>
      </c>
      <c r="AM29" s="51">
        <f>N29-E29</f>
        <v>-0.86963867973730657</v>
      </c>
      <c r="AN29" s="51">
        <f>ABS(AM29)</f>
        <v>0.86963867973730657</v>
      </c>
      <c r="AO29" s="55">
        <f>AN29/C29</f>
        <v>5.0915613567757995E-3</v>
      </c>
      <c r="AP29" s="56">
        <f>AM29^2</f>
        <v>0.75627143329524571</v>
      </c>
    </row>
    <row r="30" spans="1:44">
      <c r="A30">
        <f>'A.1 Time Series Exploration'!A25</f>
        <v>22</v>
      </c>
      <c r="B30" s="49" t="str">
        <f>'A.1 Time Series Exploration'!B25</f>
        <v>2023 - Q2</v>
      </c>
      <c r="C30" s="17">
        <f>'A.1 Time Series Exploration'!C25</f>
        <v>217.70000000000002</v>
      </c>
      <c r="E30" s="65">
        <f t="shared" si="5"/>
        <v>217.70000000000002</v>
      </c>
      <c r="F30" s="51"/>
      <c r="G30" s="51">
        <f>G29</f>
        <v>156.02500000000001</v>
      </c>
      <c r="H30" s="51"/>
      <c r="J30" s="51">
        <f t="shared" ref="J30:J44" si="9">J29</f>
        <v>163.67876967963463</v>
      </c>
      <c r="K30" s="51"/>
      <c r="L30" s="76"/>
      <c r="M30" s="62">
        <f t="shared" ref="M30:M44" si="10">M29</f>
        <v>5.8895346463657319</v>
      </c>
      <c r="N30" s="53">
        <f t="shared" ref="N30:N44" si="11">M29+N29</f>
        <v>175.81989596662845</v>
      </c>
      <c r="P30" s="51">
        <f t="shared" si="6"/>
        <v>-61.675000000000011</v>
      </c>
      <c r="Q30" s="51">
        <f t="shared" ref="Q30:Q36" si="12">ABS(P30)</f>
        <v>61.675000000000011</v>
      </c>
      <c r="R30" s="55">
        <f t="shared" si="7"/>
        <v>0.28330271015158476</v>
      </c>
      <c r="S30" s="56">
        <f t="shared" ref="S30:S36" si="13">P30^2</f>
        <v>3803.8056250000013</v>
      </c>
      <c r="AA30" s="51">
        <f t="shared" ref="AA30:AA36" si="14">J30-E30</f>
        <v>-54.02123032036539</v>
      </c>
      <c r="AB30" s="51">
        <f t="shared" ref="AB30:AB36" si="15">ABS(AA30)</f>
        <v>54.02123032036539</v>
      </c>
      <c r="AC30" s="55">
        <f t="shared" si="8"/>
        <v>0.24814529315739728</v>
      </c>
      <c r="AD30" s="56">
        <f t="shared" ref="AD30:AD36" si="16">AA30^2</f>
        <v>2918.2933253259648</v>
      </c>
      <c r="AM30" s="51">
        <f t="shared" ref="AM30:AM36" si="17">N30-E30</f>
        <v>-41.880104033371566</v>
      </c>
      <c r="AN30" s="51">
        <f t="shared" ref="AN30:AN36" si="18">ABS(AM30)</f>
        <v>41.880104033371566</v>
      </c>
      <c r="AO30" s="55">
        <f t="shared" ref="AO30:AO36" si="19">AN30/C30</f>
        <v>0.19237530561952945</v>
      </c>
      <c r="AP30" s="56">
        <f t="shared" ref="AP30:AP36" si="20">AM30^2</f>
        <v>1753.9431138460254</v>
      </c>
    </row>
    <row r="31" spans="1:44">
      <c r="A31">
        <f>'A.1 Time Series Exploration'!A26</f>
        <v>23</v>
      </c>
      <c r="B31" s="49" t="str">
        <f>'A.1 Time Series Exploration'!B26</f>
        <v>2023 - Q3</v>
      </c>
      <c r="C31" s="17">
        <f>'A.1 Time Series Exploration'!C26</f>
        <v>227.8</v>
      </c>
      <c r="E31" s="65">
        <f t="shared" si="5"/>
        <v>227.8</v>
      </c>
      <c r="F31" s="51"/>
      <c r="G31" s="51">
        <f t="shared" ref="G31:G44" si="21">G30</f>
        <v>156.02500000000001</v>
      </c>
      <c r="H31" s="51"/>
      <c r="J31" s="51">
        <f t="shared" si="9"/>
        <v>163.67876967963463</v>
      </c>
      <c r="K31" s="51"/>
      <c r="L31" s="76"/>
      <c r="M31" s="62">
        <f t="shared" si="10"/>
        <v>5.8895346463657319</v>
      </c>
      <c r="N31" s="53">
        <f t="shared" si="11"/>
        <v>181.7094306129942</v>
      </c>
      <c r="P31" s="51">
        <f t="shared" si="6"/>
        <v>-71.775000000000006</v>
      </c>
      <c r="Q31" s="51">
        <f t="shared" si="12"/>
        <v>71.775000000000006</v>
      </c>
      <c r="R31" s="55">
        <f t="shared" si="7"/>
        <v>0.3150790166812994</v>
      </c>
      <c r="S31" s="56">
        <f t="shared" si="13"/>
        <v>5151.6506250000011</v>
      </c>
      <c r="AA31" s="51">
        <f t="shared" si="14"/>
        <v>-64.121230320365385</v>
      </c>
      <c r="AB31" s="51">
        <f t="shared" si="15"/>
        <v>64.121230320365385</v>
      </c>
      <c r="AC31" s="55">
        <f t="shared" si="8"/>
        <v>0.28148037893048894</v>
      </c>
      <c r="AD31" s="56">
        <f t="shared" si="16"/>
        <v>4111.532177797345</v>
      </c>
      <c r="AM31" s="51">
        <f t="shared" si="17"/>
        <v>-46.090569387005814</v>
      </c>
      <c r="AN31" s="51">
        <f t="shared" si="18"/>
        <v>46.090569387005814</v>
      </c>
      <c r="AO31" s="55">
        <f t="shared" si="19"/>
        <v>0.20232910178668048</v>
      </c>
      <c r="AP31" s="56">
        <f t="shared" si="20"/>
        <v>2124.3405864183974</v>
      </c>
    </row>
    <row r="32" spans="1:44">
      <c r="A32">
        <f>'A.1 Time Series Exploration'!A27</f>
        <v>24</v>
      </c>
      <c r="B32" s="49" t="str">
        <f>'A.1 Time Series Exploration'!B27</f>
        <v>2023 - Q4</v>
      </c>
      <c r="C32" s="17">
        <f>'A.1 Time Series Exploration'!C27</f>
        <v>213.39999999999998</v>
      </c>
      <c r="E32" s="65">
        <f t="shared" si="5"/>
        <v>213.39999999999998</v>
      </c>
      <c r="F32" s="51"/>
      <c r="G32" s="51">
        <f t="shared" si="21"/>
        <v>156.02500000000001</v>
      </c>
      <c r="H32" s="51"/>
      <c r="J32" s="51">
        <f t="shared" si="9"/>
        <v>163.67876967963463</v>
      </c>
      <c r="K32" s="51"/>
      <c r="L32" s="76"/>
      <c r="M32" s="62">
        <f t="shared" si="10"/>
        <v>5.8895346463657319</v>
      </c>
      <c r="N32" s="53">
        <f t="shared" si="11"/>
        <v>187.59896525935994</v>
      </c>
      <c r="P32" s="51">
        <f t="shared" si="6"/>
        <v>-57.374999999999972</v>
      </c>
      <c r="Q32" s="51">
        <f t="shared" si="12"/>
        <v>57.374999999999972</v>
      </c>
      <c r="R32" s="55">
        <f t="shared" si="7"/>
        <v>0.26886129334582931</v>
      </c>
      <c r="S32" s="56">
        <f t="shared" si="13"/>
        <v>3291.8906249999968</v>
      </c>
      <c r="AA32" s="51">
        <f t="shared" si="14"/>
        <v>-49.721230320365351</v>
      </c>
      <c r="AB32" s="51">
        <f t="shared" si="15"/>
        <v>49.721230320365351</v>
      </c>
      <c r="AC32" s="55">
        <f t="shared" si="8"/>
        <v>0.23299545604669802</v>
      </c>
      <c r="AD32" s="56">
        <f t="shared" si="16"/>
        <v>2472.2007445708186</v>
      </c>
      <c r="AM32" s="51">
        <f t="shared" si="17"/>
        <v>-25.801034740640034</v>
      </c>
      <c r="AN32" s="51">
        <f t="shared" si="18"/>
        <v>25.801034740640034</v>
      </c>
      <c r="AO32" s="55">
        <f t="shared" si="19"/>
        <v>0.12090456766935349</v>
      </c>
      <c r="AP32" s="56">
        <f t="shared" si="20"/>
        <v>665.69339368771398</v>
      </c>
    </row>
    <row r="33" spans="1:42">
      <c r="A33">
        <f>'A.1 Time Series Exploration'!A28</f>
        <v>25</v>
      </c>
      <c r="B33" s="49" t="str">
        <f>'A.1 Time Series Exploration'!B28</f>
        <v>2024 - Q1</v>
      </c>
      <c r="C33" s="17">
        <f>'A.1 Time Series Exploration'!C28</f>
        <v>211</v>
      </c>
      <c r="E33" s="65">
        <f t="shared" si="5"/>
        <v>211</v>
      </c>
      <c r="F33" s="51"/>
      <c r="G33" s="51">
        <f t="shared" si="21"/>
        <v>156.02500000000001</v>
      </c>
      <c r="H33" s="51"/>
      <c r="J33" s="51">
        <f t="shared" si="9"/>
        <v>163.67876967963463</v>
      </c>
      <c r="K33" s="51"/>
      <c r="L33" s="76"/>
      <c r="M33" s="62">
        <f t="shared" si="10"/>
        <v>5.8895346463657319</v>
      </c>
      <c r="N33" s="53">
        <f t="shared" si="11"/>
        <v>193.48849990572569</v>
      </c>
      <c r="P33" s="51">
        <f t="shared" si="6"/>
        <v>-54.974999999999994</v>
      </c>
      <c r="Q33" s="51">
        <f t="shared" si="12"/>
        <v>54.974999999999994</v>
      </c>
      <c r="R33" s="55">
        <f t="shared" si="7"/>
        <v>0.26054502369668242</v>
      </c>
      <c r="S33" s="56">
        <f t="shared" si="13"/>
        <v>3022.2506249999992</v>
      </c>
      <c r="AA33" s="51">
        <f t="shared" si="14"/>
        <v>-47.321230320365373</v>
      </c>
      <c r="AB33" s="51">
        <f t="shared" si="15"/>
        <v>47.321230320365373</v>
      </c>
      <c r="AC33" s="55">
        <f t="shared" si="8"/>
        <v>0.22427123374580746</v>
      </c>
      <c r="AD33" s="56">
        <f t="shared" si="16"/>
        <v>2239.298839033067</v>
      </c>
      <c r="AM33" s="51">
        <f>N33-E33</f>
        <v>-17.511500094274311</v>
      </c>
      <c r="AN33" s="51">
        <f t="shared" si="18"/>
        <v>17.511500094274311</v>
      </c>
      <c r="AO33" s="55">
        <f t="shared" si="19"/>
        <v>8.2992891442058347E-2</v>
      </c>
      <c r="AP33" s="56">
        <f t="shared" si="20"/>
        <v>306.65263555176921</v>
      </c>
    </row>
    <row r="34" spans="1:42">
      <c r="A34">
        <f>'A.1 Time Series Exploration'!A29</f>
        <v>26</v>
      </c>
      <c r="B34" s="49" t="str">
        <f>'A.1 Time Series Exploration'!B29</f>
        <v>2024 - Q2</v>
      </c>
      <c r="C34" s="17">
        <f>'A.1 Time Series Exploration'!C29</f>
        <v>275.7</v>
      </c>
      <c r="E34" s="65">
        <f t="shared" si="5"/>
        <v>275.7</v>
      </c>
      <c r="F34" s="51"/>
      <c r="G34" s="51">
        <f t="shared" si="21"/>
        <v>156.02500000000001</v>
      </c>
      <c r="H34" s="51"/>
      <c r="J34" s="51">
        <f t="shared" si="9"/>
        <v>163.67876967963463</v>
      </c>
      <c r="K34" s="51"/>
      <c r="L34" s="76"/>
      <c r="M34" s="62">
        <f t="shared" si="10"/>
        <v>5.8895346463657319</v>
      </c>
      <c r="N34" s="53">
        <f t="shared" si="11"/>
        <v>199.37803455209144</v>
      </c>
      <c r="P34" s="51">
        <f t="shared" si="6"/>
        <v>-119.67499999999998</v>
      </c>
      <c r="Q34" s="51">
        <f t="shared" si="12"/>
        <v>119.67499999999998</v>
      </c>
      <c r="R34" s="55">
        <f t="shared" si="7"/>
        <v>0.4340768951759158</v>
      </c>
      <c r="S34" s="56">
        <f t="shared" si="13"/>
        <v>14322.105624999997</v>
      </c>
      <c r="AA34" s="51">
        <f t="shared" si="14"/>
        <v>-112.02123032036536</v>
      </c>
      <c r="AB34" s="51">
        <f t="shared" si="15"/>
        <v>112.02123032036536</v>
      </c>
      <c r="AC34" s="55">
        <f t="shared" si="8"/>
        <v>0.40631567036766547</v>
      </c>
      <c r="AD34" s="56">
        <f t="shared" si="16"/>
        <v>12548.756042488343</v>
      </c>
      <c r="AM34" s="51">
        <f t="shared" si="17"/>
        <v>-76.321965447908553</v>
      </c>
      <c r="AN34" s="51">
        <f t="shared" si="18"/>
        <v>76.321965447908553</v>
      </c>
      <c r="AO34" s="55">
        <f t="shared" si="19"/>
        <v>0.27682976223398098</v>
      </c>
      <c r="AP34" s="56">
        <f t="shared" si="20"/>
        <v>5825.0424098317471</v>
      </c>
    </row>
    <row r="35" spans="1:42">
      <c r="A35">
        <f>'A.1 Time Series Exploration'!A30</f>
        <v>27</v>
      </c>
      <c r="B35" s="49" t="str">
        <f>'A.1 Time Series Exploration'!B30</f>
        <v>2024 - Q3</v>
      </c>
      <c r="C35" s="17">
        <f>'A.1 Time Series Exploration'!C30</f>
        <v>260.39999999999998</v>
      </c>
      <c r="E35" s="65">
        <f t="shared" si="5"/>
        <v>260.39999999999998</v>
      </c>
      <c r="F35" s="51"/>
      <c r="G35" s="51">
        <f t="shared" si="21"/>
        <v>156.02500000000001</v>
      </c>
      <c r="H35" s="51"/>
      <c r="J35" s="51">
        <f t="shared" si="9"/>
        <v>163.67876967963463</v>
      </c>
      <c r="K35" s="51"/>
      <c r="L35" s="76"/>
      <c r="M35" s="62">
        <f t="shared" si="10"/>
        <v>5.8895346463657319</v>
      </c>
      <c r="N35" s="53">
        <f t="shared" si="11"/>
        <v>205.26756919845718</v>
      </c>
      <c r="P35" s="51">
        <f t="shared" si="6"/>
        <v>-104.37499999999997</v>
      </c>
      <c r="Q35" s="51">
        <f t="shared" si="12"/>
        <v>104.37499999999997</v>
      </c>
      <c r="R35" s="55">
        <f t="shared" si="7"/>
        <v>0.40082565284178179</v>
      </c>
      <c r="S35" s="56">
        <f t="shared" si="13"/>
        <v>10894.140624999995</v>
      </c>
      <c r="T35" s="59"/>
      <c r="AA35" s="51">
        <f t="shared" si="14"/>
        <v>-96.721230320365351</v>
      </c>
      <c r="AB35" s="51">
        <f t="shared" si="15"/>
        <v>96.721230320365351</v>
      </c>
      <c r="AC35" s="55">
        <f t="shared" si="8"/>
        <v>0.37143329616115728</v>
      </c>
      <c r="AD35" s="56">
        <f t="shared" si="16"/>
        <v>9354.9963946851622</v>
      </c>
      <c r="AM35" s="51">
        <f t="shared" si="17"/>
        <v>-55.132430801542796</v>
      </c>
      <c r="AN35" s="51">
        <f t="shared" si="18"/>
        <v>55.132430801542796</v>
      </c>
      <c r="AO35" s="55">
        <f t="shared" si="19"/>
        <v>0.21172208449133181</v>
      </c>
      <c r="AP35" s="56">
        <f t="shared" si="20"/>
        <v>3039.5849260869049</v>
      </c>
    </row>
    <row r="36" spans="1:42">
      <c r="A36">
        <f>'A.1 Time Series Exploration'!A31</f>
        <v>28</v>
      </c>
      <c r="B36" s="49" t="str">
        <f>'A.1 Time Series Exploration'!B31</f>
        <v>2024 - Q4</v>
      </c>
      <c r="C36" s="17">
        <f>'A.1 Time Series Exploration'!C31</f>
        <v>243.8</v>
      </c>
      <c r="E36" s="65">
        <f t="shared" si="5"/>
        <v>243.8</v>
      </c>
      <c r="F36" s="51"/>
      <c r="G36" s="51">
        <f t="shared" si="21"/>
        <v>156.02500000000001</v>
      </c>
      <c r="H36" s="51"/>
      <c r="J36" s="51">
        <f t="shared" si="9"/>
        <v>163.67876967963463</v>
      </c>
      <c r="K36" s="51"/>
      <c r="L36" s="76"/>
      <c r="M36" s="62">
        <f t="shared" si="10"/>
        <v>5.8895346463657319</v>
      </c>
      <c r="N36" s="53">
        <f t="shared" si="11"/>
        <v>211.15710384482293</v>
      </c>
      <c r="P36" s="51">
        <f t="shared" si="6"/>
        <v>-87.775000000000006</v>
      </c>
      <c r="Q36" s="51">
        <f t="shared" si="12"/>
        <v>87.775000000000006</v>
      </c>
      <c r="R36" s="55">
        <f t="shared" si="7"/>
        <v>0.36002871205906484</v>
      </c>
      <c r="S36" s="56">
        <f t="shared" si="13"/>
        <v>7704.4506250000013</v>
      </c>
      <c r="T36" s="66"/>
      <c r="AA36" s="51">
        <f t="shared" si="14"/>
        <v>-80.121230320365385</v>
      </c>
      <c r="AB36" s="51">
        <f t="shared" si="15"/>
        <v>80.121230320365385</v>
      </c>
      <c r="AC36" s="55">
        <f t="shared" si="8"/>
        <v>0.32863507104333628</v>
      </c>
      <c r="AD36" s="56">
        <f t="shared" si="16"/>
        <v>6419.4115480490373</v>
      </c>
      <c r="AM36" s="51">
        <f t="shared" si="17"/>
        <v>-32.642896155177084</v>
      </c>
      <c r="AN36" s="51">
        <f t="shared" si="18"/>
        <v>32.642896155177084</v>
      </c>
      <c r="AO36" s="55">
        <f t="shared" si="19"/>
        <v>0.13389210892197326</v>
      </c>
      <c r="AP36" s="56">
        <f t="shared" si="20"/>
        <v>1065.5586693976747</v>
      </c>
    </row>
    <row r="37" spans="1:42">
      <c r="A37">
        <f>'A.1 Time Series Exploration'!A32</f>
        <v>29</v>
      </c>
      <c r="B37" s="49" t="str">
        <f>'A.1 Time Series Exploration'!B32</f>
        <v>2025 - Q1</v>
      </c>
      <c r="C37" s="17"/>
      <c r="E37" s="64"/>
      <c r="F37" s="51"/>
      <c r="G37" s="51">
        <f t="shared" si="21"/>
        <v>156.02500000000001</v>
      </c>
      <c r="J37" s="51">
        <f t="shared" si="9"/>
        <v>163.67876967963463</v>
      </c>
      <c r="L37" s="76"/>
      <c r="M37" s="62">
        <f t="shared" si="10"/>
        <v>5.8895346463657319</v>
      </c>
      <c r="N37" s="53">
        <f t="shared" si="11"/>
        <v>217.04663849118867</v>
      </c>
    </row>
    <row r="38" spans="1:42">
      <c r="A38">
        <f>'A.1 Time Series Exploration'!A33</f>
        <v>30</v>
      </c>
      <c r="B38" s="49" t="str">
        <f>'A.1 Time Series Exploration'!B33</f>
        <v>2025 - Q2</v>
      </c>
      <c r="C38" s="17"/>
      <c r="E38" s="64"/>
      <c r="F38" s="51"/>
      <c r="G38" s="51">
        <f t="shared" si="21"/>
        <v>156.02500000000001</v>
      </c>
      <c r="J38" s="51">
        <f t="shared" si="9"/>
        <v>163.67876967963463</v>
      </c>
      <c r="L38" s="76"/>
      <c r="M38" s="62">
        <f t="shared" si="10"/>
        <v>5.8895346463657319</v>
      </c>
      <c r="N38" s="53">
        <f t="shared" si="11"/>
        <v>222.93617313755442</v>
      </c>
      <c r="P38" s="45"/>
      <c r="Q38" s="45"/>
      <c r="R38" s="45"/>
      <c r="S38" s="45"/>
    </row>
    <row r="39" spans="1:42">
      <c r="A39">
        <f>'A.1 Time Series Exploration'!A34</f>
        <v>31</v>
      </c>
      <c r="B39" s="49" t="str">
        <f>'A.1 Time Series Exploration'!B34</f>
        <v>2025 - Q3</v>
      </c>
      <c r="C39" s="17"/>
      <c r="E39" s="64"/>
      <c r="F39" s="51"/>
      <c r="G39" s="51">
        <f t="shared" si="21"/>
        <v>156.02500000000001</v>
      </c>
      <c r="J39" s="51">
        <f t="shared" si="9"/>
        <v>163.67876967963463</v>
      </c>
      <c r="L39" s="76"/>
      <c r="M39" s="62">
        <f t="shared" si="10"/>
        <v>5.8895346463657319</v>
      </c>
      <c r="N39" s="53">
        <f t="shared" si="11"/>
        <v>228.82570778392017</v>
      </c>
      <c r="P39" s="54"/>
      <c r="Q39" s="54"/>
      <c r="R39" s="54"/>
      <c r="S39" s="54"/>
    </row>
    <row r="40" spans="1:42">
      <c r="A40">
        <f>'A.1 Time Series Exploration'!A35</f>
        <v>32</v>
      </c>
      <c r="B40" s="49" t="str">
        <f>'A.1 Time Series Exploration'!B35</f>
        <v>2025 - Q4</v>
      </c>
      <c r="C40" s="17"/>
      <c r="E40" s="64"/>
      <c r="F40" s="51"/>
      <c r="G40" s="51">
        <f t="shared" si="21"/>
        <v>156.02500000000001</v>
      </c>
      <c r="H40" s="51"/>
      <c r="J40" s="51">
        <f t="shared" si="9"/>
        <v>163.67876967963463</v>
      </c>
      <c r="L40" s="76"/>
      <c r="M40" s="62">
        <f t="shared" si="10"/>
        <v>5.8895346463657319</v>
      </c>
      <c r="N40" s="53">
        <f t="shared" si="11"/>
        <v>234.71524243028591</v>
      </c>
      <c r="P40" s="51"/>
      <c r="Q40" s="51"/>
      <c r="R40" s="67"/>
      <c r="S40" s="68"/>
    </row>
    <row r="41" spans="1:42">
      <c r="A41">
        <f>'A.1 Time Series Exploration'!A36</f>
        <v>33</v>
      </c>
      <c r="B41" s="49" t="str">
        <f>'A.1 Time Series Exploration'!B36</f>
        <v>2026 - Q1</v>
      </c>
      <c r="C41" s="17"/>
      <c r="E41" s="64"/>
      <c r="G41" s="51">
        <f t="shared" si="21"/>
        <v>156.02500000000001</v>
      </c>
      <c r="H41" s="51"/>
      <c r="J41" s="51">
        <f t="shared" si="9"/>
        <v>163.67876967963463</v>
      </c>
      <c r="L41" s="76"/>
      <c r="M41" s="62">
        <f t="shared" si="10"/>
        <v>5.8895346463657319</v>
      </c>
      <c r="N41" s="53">
        <f t="shared" si="11"/>
        <v>240.60477707665166</v>
      </c>
      <c r="P41" s="51"/>
      <c r="Q41" s="51"/>
      <c r="R41" s="67"/>
      <c r="S41" s="68"/>
    </row>
    <row r="42" spans="1:42">
      <c r="A42">
        <f>'A.1 Time Series Exploration'!A37</f>
        <v>34</v>
      </c>
      <c r="B42" s="49" t="str">
        <f>'A.1 Time Series Exploration'!B37</f>
        <v>2026 - Q2</v>
      </c>
      <c r="C42" s="17"/>
      <c r="E42" s="64"/>
      <c r="G42" s="51">
        <f t="shared" si="21"/>
        <v>156.02500000000001</v>
      </c>
      <c r="H42" s="51"/>
      <c r="J42" s="51">
        <f t="shared" si="9"/>
        <v>163.67876967963463</v>
      </c>
      <c r="L42" s="76"/>
      <c r="M42" s="62">
        <f t="shared" si="10"/>
        <v>5.8895346463657319</v>
      </c>
      <c r="N42" s="53">
        <f t="shared" si="11"/>
        <v>246.4943117230174</v>
      </c>
      <c r="P42" s="51"/>
      <c r="Q42" s="51"/>
      <c r="R42" s="67"/>
      <c r="S42" s="68"/>
    </row>
    <row r="43" spans="1:42">
      <c r="A43">
        <f>'A.1 Time Series Exploration'!A38</f>
        <v>35</v>
      </c>
      <c r="B43" s="49" t="str">
        <f>'A.1 Time Series Exploration'!B38</f>
        <v>2026 - Q3</v>
      </c>
      <c r="C43" s="17"/>
      <c r="E43" s="64"/>
      <c r="G43" s="51">
        <f t="shared" si="21"/>
        <v>156.02500000000001</v>
      </c>
      <c r="H43" s="51"/>
      <c r="J43" s="51">
        <f t="shared" si="9"/>
        <v>163.67876967963463</v>
      </c>
      <c r="L43" s="76"/>
      <c r="M43" s="62">
        <f t="shared" si="10"/>
        <v>5.8895346463657319</v>
      </c>
      <c r="N43" s="53">
        <f t="shared" si="11"/>
        <v>252.38384636938315</v>
      </c>
      <c r="P43" s="51"/>
      <c r="Q43" s="51"/>
      <c r="R43" s="67"/>
      <c r="S43" s="68"/>
    </row>
    <row r="44" spans="1:42">
      <c r="A44">
        <f>'A.1 Time Series Exploration'!A39</f>
        <v>36</v>
      </c>
      <c r="B44" s="49" t="str">
        <f>'A.1 Time Series Exploration'!B39</f>
        <v>2026 - Q4</v>
      </c>
      <c r="C44" s="17"/>
      <c r="E44" s="64"/>
      <c r="G44" s="51">
        <f t="shared" si="21"/>
        <v>156.02500000000001</v>
      </c>
      <c r="H44" s="51"/>
      <c r="J44" s="51">
        <f t="shared" si="9"/>
        <v>163.67876967963463</v>
      </c>
      <c r="L44" s="76"/>
      <c r="M44" s="62">
        <f t="shared" si="10"/>
        <v>5.8895346463657319</v>
      </c>
      <c r="N44" s="53">
        <f t="shared" si="11"/>
        <v>258.2733810157489</v>
      </c>
      <c r="P44" s="51"/>
      <c r="Q44" s="51"/>
      <c r="R44" s="67"/>
      <c r="S44" s="68"/>
    </row>
    <row r="45" spans="1:42">
      <c r="B45" s="49"/>
      <c r="L45" s="76"/>
      <c r="M45" s="81"/>
    </row>
    <row r="46" spans="1:42">
      <c r="L46" s="76"/>
      <c r="M46" s="81"/>
    </row>
    <row r="47" spans="1:42">
      <c r="L47" s="76"/>
      <c r="M47" s="81"/>
    </row>
    <row r="48" spans="1:42">
      <c r="L48" s="76"/>
      <c r="M48" s="81"/>
    </row>
    <row r="49" spans="12:39">
      <c r="L49" s="76"/>
      <c r="M49" s="81"/>
    </row>
    <row r="50" spans="12:39">
      <c r="L50" s="76"/>
      <c r="M50" s="81"/>
    </row>
    <row r="51" spans="12:39">
      <c r="L51" s="76"/>
      <c r="M51" s="81"/>
      <c r="N51" s="53"/>
    </row>
    <row r="52" spans="12:39">
      <c r="L52" s="76"/>
      <c r="M52" s="81"/>
      <c r="N52" s="53"/>
    </row>
    <row r="53" spans="12:39">
      <c r="L53" s="76"/>
      <c r="M53" s="81"/>
      <c r="N53" s="53"/>
    </row>
    <row r="54" spans="12:39">
      <c r="L54" s="76"/>
      <c r="M54" s="81"/>
      <c r="N54" s="53"/>
    </row>
    <row r="55" spans="12:39">
      <c r="L55" s="76"/>
      <c r="M55" s="81"/>
      <c r="N55" s="53"/>
    </row>
    <row r="56" spans="12:39">
      <c r="L56" s="76"/>
      <c r="M56" s="81"/>
      <c r="N56" s="53"/>
    </row>
    <row r="57" spans="12:39">
      <c r="L57" s="76"/>
      <c r="M57" s="81"/>
      <c r="N57" s="53"/>
    </row>
    <row r="58" spans="12:39">
      <c r="L58" s="76"/>
      <c r="M58" s="81"/>
      <c r="N58" s="53"/>
    </row>
    <row r="59" spans="12:39">
      <c r="L59" s="76"/>
      <c r="M59" s="81"/>
      <c r="N59" s="53"/>
    </row>
    <row r="60" spans="12:39">
      <c r="L60" s="76"/>
      <c r="M60" s="81"/>
      <c r="N60" s="53"/>
    </row>
    <row r="61" spans="12:39">
      <c r="M61" s="81"/>
      <c r="N61" s="53"/>
    </row>
    <row r="62" spans="12:39" ht="18">
      <c r="M62" s="81"/>
      <c r="N62" s="53"/>
      <c r="AM62" s="3" t="s">
        <v>72</v>
      </c>
    </row>
    <row r="63" spans="12:39">
      <c r="M63" s="81"/>
      <c r="N63" s="53"/>
    </row>
    <row r="64" spans="12:39">
      <c r="M64" s="81"/>
      <c r="N64" s="53"/>
    </row>
    <row r="65" spans="13:39">
      <c r="M65" s="81"/>
      <c r="N65" s="53"/>
    </row>
    <row r="66" spans="13:39" ht="18">
      <c r="M66" s="81"/>
      <c r="N66" s="53"/>
      <c r="AM66" s="3" t="s">
        <v>73</v>
      </c>
    </row>
    <row r="67" spans="13:39">
      <c r="M67" s="81"/>
      <c r="N67" s="53"/>
      <c r="AM67" s="4"/>
    </row>
    <row r="68" spans="13:39">
      <c r="M68" s="81"/>
      <c r="N68" s="53"/>
      <c r="AM68" s="4" t="s">
        <v>74</v>
      </c>
    </row>
    <row r="69" spans="13:39">
      <c r="M69" s="81"/>
      <c r="N69" s="53"/>
      <c r="AM69" s="4"/>
    </row>
    <row r="70" spans="13:39">
      <c r="M70" s="81"/>
      <c r="N70" s="53"/>
      <c r="AM70" s="5" t="s">
        <v>75</v>
      </c>
    </row>
    <row r="71" spans="13:39">
      <c r="M71" s="81"/>
      <c r="N71" s="53"/>
      <c r="AM71" s="4"/>
    </row>
    <row r="72" spans="13:39">
      <c r="M72" s="81"/>
      <c r="N72" s="53"/>
      <c r="AM72" s="5" t="s">
        <v>76</v>
      </c>
    </row>
    <row r="73" spans="13:39">
      <c r="M73" s="81"/>
      <c r="N73" s="53"/>
      <c r="AM73" s="4"/>
    </row>
    <row r="74" spans="13:39">
      <c r="M74" s="81"/>
      <c r="N74" s="53"/>
      <c r="AM74" s="4" t="s">
        <v>77</v>
      </c>
    </row>
    <row r="75" spans="13:39">
      <c r="M75" s="81"/>
      <c r="N75" s="53"/>
    </row>
    <row r="76" spans="13:39">
      <c r="M76" s="81"/>
      <c r="N76" s="53"/>
    </row>
    <row r="77" spans="13:39">
      <c r="M77" s="81"/>
      <c r="N77" s="53"/>
    </row>
    <row r="78" spans="13:39" ht="18">
      <c r="M78" s="81"/>
      <c r="N78" s="53"/>
      <c r="AM78" s="3" t="s">
        <v>78</v>
      </c>
    </row>
    <row r="80" spans="13:39">
      <c r="AM80" t="s">
        <v>79</v>
      </c>
    </row>
    <row r="82" spans="39:42">
      <c r="AM82" s="43" t="s">
        <v>80</v>
      </c>
      <c r="AN82" s="43" t="s">
        <v>37</v>
      </c>
      <c r="AO82" s="43" t="s">
        <v>29</v>
      </c>
      <c r="AP82" s="43" t="s">
        <v>32</v>
      </c>
    </row>
    <row r="83" spans="39:42" ht="28.9">
      <c r="AM83" s="86" t="s">
        <v>81</v>
      </c>
      <c r="AN83" s="87" t="s">
        <v>82</v>
      </c>
      <c r="AO83" s="87" t="s">
        <v>83</v>
      </c>
      <c r="AP83" s="87" t="s">
        <v>84</v>
      </c>
    </row>
    <row r="84" spans="39:42" ht="28.9">
      <c r="AM84" s="86" t="s">
        <v>85</v>
      </c>
      <c r="AN84" s="86">
        <v>43.69</v>
      </c>
      <c r="AO84" s="86">
        <v>34.49</v>
      </c>
      <c r="AP84" s="88">
        <v>0.1734</v>
      </c>
    </row>
    <row r="85" spans="39:42" ht="28.9">
      <c r="AM85" s="86" t="s">
        <v>86</v>
      </c>
      <c r="AN85" s="86">
        <v>52.79</v>
      </c>
      <c r="AO85" s="86">
        <v>36.14</v>
      </c>
      <c r="AP85" s="88">
        <v>0.22109999999999999</v>
      </c>
    </row>
    <row r="86" spans="39:42">
      <c r="AM86" s="4"/>
    </row>
    <row r="87" spans="39:42">
      <c r="AM87" s="4" t="s">
        <v>87</v>
      </c>
    </row>
    <row r="91" spans="39:42" ht="18">
      <c r="AM91" s="3" t="s">
        <v>88</v>
      </c>
    </row>
    <row r="92" spans="39:42">
      <c r="AM92" s="4"/>
    </row>
    <row r="93" spans="39:42">
      <c r="AM93" s="5" t="s">
        <v>89</v>
      </c>
    </row>
    <row r="94" spans="39:42">
      <c r="AM94" s="4"/>
    </row>
    <row r="95" spans="39:42">
      <c r="AM95" s="5" t="s">
        <v>90</v>
      </c>
    </row>
    <row r="96" spans="39:42">
      <c r="AM96" s="4"/>
    </row>
    <row r="97" spans="39:39">
      <c r="AM97" s="4" t="s">
        <v>91</v>
      </c>
    </row>
    <row r="101" spans="39:39" ht="18">
      <c r="AM101" s="3" t="s">
        <v>92</v>
      </c>
    </row>
    <row r="102" spans="39:39">
      <c r="AM102" s="4"/>
    </row>
    <row r="103" spans="39:39">
      <c r="AM103" s="4" t="s">
        <v>93</v>
      </c>
    </row>
    <row r="104" spans="39:39">
      <c r="AM104" s="4"/>
    </row>
    <row r="105" spans="39:39">
      <c r="AM105" s="4" t="s">
        <v>94</v>
      </c>
    </row>
    <row r="106" spans="39:39">
      <c r="AM106" s="4"/>
    </row>
    <row r="107" spans="39:39">
      <c r="AM107" s="4" t="s">
        <v>95</v>
      </c>
    </row>
    <row r="111" spans="39:39" ht="18">
      <c r="AM111" s="3"/>
    </row>
    <row r="112" spans="39:39">
      <c r="AM112" s="4"/>
    </row>
    <row r="113" spans="39:39">
      <c r="AM113" s="4"/>
    </row>
  </sheetData>
  <mergeCells count="3">
    <mergeCell ref="AA1:AE1"/>
    <mergeCell ref="AM1:AS1"/>
    <mergeCell ref="AV1:BB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D34C-0E07-4C8E-B557-53F461655B0B}">
  <dimension ref="A1:R45"/>
  <sheetViews>
    <sheetView zoomScaleNormal="100" workbookViewId="0">
      <selection activeCell="C32" sqref="C32"/>
    </sheetView>
  </sheetViews>
  <sheetFormatPr defaultRowHeight="14.45"/>
  <cols>
    <col min="1" max="1" width="3.85546875" customWidth="1"/>
    <col min="2" max="2" width="23.28515625" customWidth="1"/>
    <col min="8" max="8" width="16.140625" customWidth="1"/>
    <col min="16" max="16" width="10" customWidth="1"/>
  </cols>
  <sheetData>
    <row r="1" spans="1:9" ht="18" thickBot="1">
      <c r="A1" s="160" t="s">
        <v>96</v>
      </c>
      <c r="B1" s="160"/>
      <c r="C1" s="160"/>
      <c r="D1" s="160"/>
      <c r="E1" s="160"/>
      <c r="F1" s="160"/>
      <c r="G1" s="160"/>
      <c r="H1" s="160"/>
      <c r="I1" s="160"/>
    </row>
    <row r="2" spans="1:9" ht="15" thickTop="1"/>
    <row r="3" spans="1:9">
      <c r="A3" s="45" t="s">
        <v>97</v>
      </c>
    </row>
    <row r="4" spans="1:9">
      <c r="A4" s="45">
        <v>1</v>
      </c>
      <c r="B4" s="45" t="s">
        <v>98</v>
      </c>
    </row>
    <row r="5" spans="1:9">
      <c r="B5" s="45" t="s">
        <v>99</v>
      </c>
      <c r="C5" s="89">
        <v>8</v>
      </c>
      <c r="D5" t="s">
        <v>3</v>
      </c>
      <c r="E5" t="s">
        <v>100</v>
      </c>
    </row>
    <row r="6" spans="1:9">
      <c r="B6" s="63" t="s">
        <v>101</v>
      </c>
    </row>
    <row r="8" spans="1:9">
      <c r="A8" s="45">
        <v>2</v>
      </c>
      <c r="B8" s="45" t="s">
        <v>102</v>
      </c>
    </row>
    <row r="12" spans="1:9">
      <c r="B12" s="90" t="s">
        <v>103</v>
      </c>
      <c r="C12" s="90" t="s">
        <v>3</v>
      </c>
      <c r="D12" s="90" t="s">
        <v>104</v>
      </c>
    </row>
    <row r="13" spans="1:9">
      <c r="B13">
        <v>1</v>
      </c>
      <c r="C13" s="49" t="str">
        <f>'A.2 &amp; A.3 Time Series Models'!B37</f>
        <v>2025 - Q1</v>
      </c>
      <c r="D13" s="56">
        <f>'A.2 &amp; A.3 Time Series Models'!N37</f>
        <v>217.04663849118867</v>
      </c>
      <c r="G13" s="91" t="s">
        <v>105</v>
      </c>
    </row>
    <row r="14" spans="1:9" ht="18">
      <c r="B14">
        <v>2</v>
      </c>
      <c r="C14" s="49" t="str">
        <f>'A.2 &amp; A.3 Time Series Models'!B38</f>
        <v>2025 - Q2</v>
      </c>
      <c r="D14" s="56">
        <f>'A.2 &amp; A.3 Time Series Models'!N38</f>
        <v>222.93617313755442</v>
      </c>
      <c r="G14" s="92">
        <f>SUM(D13:D20)</f>
        <v>1901.2800780277503</v>
      </c>
      <c r="H14" s="63" t="s">
        <v>106</v>
      </c>
    </row>
    <row r="15" spans="1:9">
      <c r="B15">
        <v>3</v>
      </c>
      <c r="C15" s="49" t="str">
        <f>'A.2 &amp; A.3 Time Series Models'!B39</f>
        <v>2025 - Q3</v>
      </c>
      <c r="D15" s="56">
        <f>'A.2 &amp; A.3 Time Series Models'!N39</f>
        <v>228.82570778392017</v>
      </c>
    </row>
    <row r="16" spans="1:9">
      <c r="B16">
        <v>4</v>
      </c>
      <c r="C16" s="49" t="str">
        <f>'A.2 &amp; A.3 Time Series Models'!B40</f>
        <v>2025 - Q4</v>
      </c>
      <c r="D16" s="56">
        <f>'A.2 &amp; A.3 Time Series Models'!N40</f>
        <v>234.71524243028591</v>
      </c>
    </row>
    <row r="17" spans="1:18">
      <c r="B17">
        <v>5</v>
      </c>
      <c r="C17" s="49" t="str">
        <f>'A.2 &amp; A.3 Time Series Models'!B41</f>
        <v>2026 - Q1</v>
      </c>
      <c r="D17" s="56">
        <f>'A.2 &amp; A.3 Time Series Models'!N41</f>
        <v>240.60477707665166</v>
      </c>
    </row>
    <row r="18" spans="1:18">
      <c r="B18">
        <v>6</v>
      </c>
      <c r="C18" s="49" t="str">
        <f>'A.2 &amp; A.3 Time Series Models'!B42</f>
        <v>2026 - Q2</v>
      </c>
      <c r="D18" s="56">
        <f>'A.2 &amp; A.3 Time Series Models'!N42</f>
        <v>246.4943117230174</v>
      </c>
    </row>
    <row r="19" spans="1:18">
      <c r="B19">
        <v>7</v>
      </c>
      <c r="C19" s="49" t="str">
        <f>'A.2 &amp; A.3 Time Series Models'!B43</f>
        <v>2026 - Q3</v>
      </c>
      <c r="D19" s="56">
        <f>'A.2 &amp; A.3 Time Series Models'!N43</f>
        <v>252.38384636938315</v>
      </c>
    </row>
    <row r="20" spans="1:18">
      <c r="B20">
        <v>8</v>
      </c>
      <c r="C20" s="49" t="str">
        <f>'A.2 &amp; A.3 Time Series Models'!B44</f>
        <v>2026 - Q4</v>
      </c>
      <c r="D20" s="56">
        <f>'A.2 &amp; A.3 Time Series Models'!N44</f>
        <v>258.2733810157489</v>
      </c>
      <c r="F20" s="93"/>
    </row>
    <row r="21" spans="1:18">
      <c r="D21" s="56"/>
      <c r="N21" s="35" t="s">
        <v>107</v>
      </c>
      <c r="P21" t="s">
        <v>108</v>
      </c>
      <c r="Q21" s="35" t="s">
        <v>109</v>
      </c>
    </row>
    <row r="22" spans="1:18" ht="18">
      <c r="D22" s="56"/>
      <c r="M22" s="63" t="s">
        <v>106</v>
      </c>
      <c r="N22" s="92">
        <f>G14</f>
        <v>1901.2800780277503</v>
      </c>
      <c r="P22" s="94">
        <f>C38</f>
        <v>199.98046250261353</v>
      </c>
      <c r="Q22" s="95">
        <f>N22+P22</f>
        <v>2101.2605405303639</v>
      </c>
      <c r="R22" s="63" t="s">
        <v>106</v>
      </c>
    </row>
    <row r="24" spans="1:18">
      <c r="A24" s="45">
        <v>3</v>
      </c>
      <c r="B24" s="45" t="s">
        <v>110</v>
      </c>
      <c r="G24" s="45"/>
    </row>
    <row r="25" spans="1:18">
      <c r="B25" t="s">
        <v>111</v>
      </c>
      <c r="C25" s="96">
        <v>0.05</v>
      </c>
    </row>
    <row r="26" spans="1:18">
      <c r="B26" t="s">
        <v>112</v>
      </c>
      <c r="C26" s="58">
        <f>1-C25</f>
        <v>0.95</v>
      </c>
      <c r="D26" t="s">
        <v>113</v>
      </c>
    </row>
    <row r="28" spans="1:18">
      <c r="A28" s="45">
        <v>4</v>
      </c>
      <c r="B28" s="45" t="s">
        <v>114</v>
      </c>
      <c r="G28" s="45"/>
    </row>
    <row r="29" spans="1:18">
      <c r="B29" t="s">
        <v>115</v>
      </c>
      <c r="C29" s="97">
        <f>_xlfn.NORM.S.INV(C26)</f>
        <v>1.6448536269514715</v>
      </c>
      <c r="D29" s="98" t="s">
        <v>116</v>
      </c>
    </row>
    <row r="31" spans="1:18">
      <c r="A31" s="45">
        <v>5</v>
      </c>
      <c r="B31" s="60" t="s">
        <v>117</v>
      </c>
    </row>
    <row r="32" spans="1:18">
      <c r="B32" t="s">
        <v>118</v>
      </c>
      <c r="C32" s="99">
        <f>RMSE_LES</f>
        <v>42.984840360081499</v>
      </c>
    </row>
    <row r="33" spans="1:4">
      <c r="C33" t="s">
        <v>119</v>
      </c>
    </row>
    <row r="34" spans="1:4">
      <c r="B34" t="s">
        <v>120</v>
      </c>
      <c r="C34" s="100">
        <f>SQRT(Lead_Time)</f>
        <v>2.8284271247461903</v>
      </c>
    </row>
    <row r="35" spans="1:4">
      <c r="C35" t="s">
        <v>119</v>
      </c>
    </row>
    <row r="36" spans="1:4">
      <c r="B36" t="s">
        <v>121</v>
      </c>
      <c r="C36" s="97">
        <f>C29</f>
        <v>1.6448536269514715</v>
      </c>
    </row>
    <row r="37" spans="1:4">
      <c r="C37" s="93" t="s">
        <v>122</v>
      </c>
    </row>
    <row r="38" spans="1:4" ht="18">
      <c r="B38" s="45" t="s">
        <v>123</v>
      </c>
      <c r="C38" s="94">
        <f>C32*C34*C36</f>
        <v>199.98046250261353</v>
      </c>
      <c r="D38" s="63" t="s">
        <v>106</v>
      </c>
    </row>
    <row r="40" spans="1:4">
      <c r="A40" s="45">
        <v>6</v>
      </c>
      <c r="B40" s="45" t="s">
        <v>124</v>
      </c>
    </row>
    <row r="41" spans="1:4">
      <c r="B41" t="s">
        <v>125</v>
      </c>
      <c r="C41" s="53">
        <f>N22</f>
        <v>1901.2800780277503</v>
      </c>
    </row>
    <row r="42" spans="1:4">
      <c r="C42" s="93" t="s">
        <v>126</v>
      </c>
    </row>
    <row r="43" spans="1:4">
      <c r="B43" t="s">
        <v>108</v>
      </c>
      <c r="C43" s="53">
        <f>C38</f>
        <v>199.98046250261353</v>
      </c>
    </row>
    <row r="44" spans="1:4">
      <c r="C44" s="93"/>
    </row>
    <row r="45" spans="1:4" ht="18">
      <c r="B45" s="101" t="s">
        <v>109</v>
      </c>
      <c r="C45" s="95">
        <f>C41+C43</f>
        <v>2101.2605405303639</v>
      </c>
      <c r="D45" s="63" t="s">
        <v>106</v>
      </c>
    </row>
  </sheetData>
  <mergeCells count="1">
    <mergeCell ref="A1:I1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11A8-C231-4E09-9C15-1B7AC8D71908}">
  <dimension ref="A1:T778"/>
  <sheetViews>
    <sheetView tabSelected="1" zoomScale="70" zoomScaleNormal="70" workbookViewId="0"/>
  </sheetViews>
  <sheetFormatPr defaultRowHeight="14.45"/>
  <cols>
    <col min="1" max="1" width="6.5703125" customWidth="1"/>
    <col min="2" max="2" width="13.7109375" customWidth="1"/>
    <col min="3" max="3" width="18.28515625" customWidth="1"/>
    <col min="4" max="4" width="11.7109375" customWidth="1"/>
    <col min="5" max="5" width="16.85546875" customWidth="1"/>
    <col min="6" max="6" width="12.85546875" customWidth="1"/>
    <col min="7" max="7" width="13.42578125" customWidth="1"/>
    <col min="8" max="8" width="15.7109375" customWidth="1"/>
    <col min="9" max="9" width="14" customWidth="1"/>
    <col min="18" max="18" width="15.42578125" customWidth="1"/>
    <col min="19" max="19" width="11.7109375" bestFit="1" customWidth="1"/>
    <col min="20" max="20" width="14.42578125" bestFit="1" customWidth="1"/>
  </cols>
  <sheetData>
    <row r="1" spans="1:20" ht="18" thickBot="1">
      <c r="A1" s="160" t="s">
        <v>127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</row>
    <row r="2" spans="1:20" ht="15" thickTop="1">
      <c r="R2" s="102" t="s">
        <v>128</v>
      </c>
      <c r="S2" s="102" t="s">
        <v>129</v>
      </c>
      <c r="T2" s="102"/>
    </row>
    <row r="3" spans="1:20" ht="18" thickBot="1">
      <c r="D3" s="160" t="s">
        <v>130</v>
      </c>
      <c r="E3" s="160"/>
      <c r="H3" s="44" t="s">
        <v>131</v>
      </c>
      <c r="I3" s="44"/>
      <c r="R3" s="103">
        <f ca="1">FLOOR(Minimum_Profit,POWER(10,LEN(TRUNC(Minimum_Profit))-1))</f>
        <v>1000000</v>
      </c>
      <c r="S3" s="103">
        <f ca="1">_xlfn.CEILING.MATH(Maximum_Profit,POWER(10,LEN(TRUNC(Maximum_Profit))-1))</f>
        <v>7000000</v>
      </c>
      <c r="T3" s="102"/>
    </row>
    <row r="4" spans="1:20" ht="15.6" thickTop="1" thickBot="1">
      <c r="R4" s="165" t="s">
        <v>132</v>
      </c>
      <c r="S4" s="165"/>
      <c r="T4" s="165"/>
    </row>
    <row r="5" spans="1:20">
      <c r="E5" s="35" t="s">
        <v>107</v>
      </c>
      <c r="F5" s="104">
        <f>'A.4 Safety Stock'!N22</f>
        <v>1901.2800780277503</v>
      </c>
      <c r="G5" s="63" t="s">
        <v>106</v>
      </c>
      <c r="H5" s="90" t="s">
        <v>133</v>
      </c>
      <c r="R5" s="105" t="s">
        <v>134</v>
      </c>
      <c r="S5" s="105" t="s">
        <v>135</v>
      </c>
      <c r="T5" s="105" t="s">
        <v>136</v>
      </c>
    </row>
    <row r="6" spans="1:20">
      <c r="E6" s="35" t="s">
        <v>137</v>
      </c>
      <c r="F6" s="106">
        <v>8</v>
      </c>
      <c r="J6" s="35"/>
      <c r="R6" s="103">
        <f ca="1">Bin_Start</f>
        <v>1000000</v>
      </c>
      <c r="S6" s="102">
        <f t="array" aca="1" ref="S6:S28" ca="1">FREQUENCY(Table14[Profit],Bins)</f>
        <v>0</v>
      </c>
      <c r="T6" s="108">
        <f ca="1">IF(ISBLANK(S6),"",SUM($S$6:S6)/Total_Trials)</f>
        <v>0</v>
      </c>
    </row>
    <row r="7" spans="1:20">
      <c r="E7" s="35" t="s">
        <v>138</v>
      </c>
      <c r="F7" s="106">
        <v>4</v>
      </c>
      <c r="H7" s="109" t="s">
        <v>139</v>
      </c>
      <c r="J7" s="35"/>
      <c r="R7" s="103">
        <f t="shared" ref="R7:R14" ca="1" si="0">IF(R6+Bin_Size&gt;Bin_Stop,"",R6+Bin_Size)</f>
        <v>1650000</v>
      </c>
      <c r="S7" s="102">
        <f ca="1"/>
        <v>9</v>
      </c>
      <c r="T7" s="108">
        <f ca="1">IF(ISBLANK(S7),"",SUM($S$6:S7)/Total_Trials)</f>
        <v>3.5999999999999997E-2</v>
      </c>
    </row>
    <row r="8" spans="1:20">
      <c r="E8" s="35" t="s">
        <v>140</v>
      </c>
      <c r="F8" s="128">
        <f>'A.4 Safety Stock'!C32 * 'A.4 Safety Stock'!C34</f>
        <v>121.57948842733931</v>
      </c>
      <c r="H8" s="170">
        <f ca="1">AVERAGE(Table14[Share of Lead Time Demand (Units)])</f>
        <v>1000166.4626692988</v>
      </c>
      <c r="I8" s="170"/>
      <c r="J8" s="16" t="s">
        <v>141</v>
      </c>
      <c r="R8" s="103">
        <f t="shared" ca="1" si="0"/>
        <v>2300000</v>
      </c>
      <c r="S8" s="102">
        <f ca="1"/>
        <v>18</v>
      </c>
      <c r="T8" s="108">
        <f ca="1">IF(ISBLANK(S8),"",SUM($S$6:S8)/Total_Trials)</f>
        <v>0.108</v>
      </c>
    </row>
    <row r="9" spans="1:20">
      <c r="J9" s="35"/>
      <c r="R9" s="103">
        <f t="shared" ca="1" si="0"/>
        <v>2950000</v>
      </c>
      <c r="S9" s="102">
        <f ca="1"/>
        <v>25</v>
      </c>
      <c r="T9" s="108">
        <f ca="1">IF(ISBLANK(S9),"",SUM($S$6:S9)/Total_Trials)</f>
        <v>0.20799999999999999</v>
      </c>
    </row>
    <row r="10" spans="1:20">
      <c r="E10" s="90" t="s">
        <v>142</v>
      </c>
      <c r="G10" s="58"/>
      <c r="H10" s="109" t="s">
        <v>143</v>
      </c>
      <c r="K10" s="35"/>
      <c r="R10" s="103">
        <f t="shared" ca="1" si="0"/>
        <v>3600000</v>
      </c>
      <c r="S10" s="102">
        <f ca="1"/>
        <v>35</v>
      </c>
      <c r="T10" s="108">
        <f ca="1">IF(ISBLANK(S10),"",SUM($S$6:S10)/Total_Trials)</f>
        <v>0.34799999999999998</v>
      </c>
    </row>
    <row r="11" spans="1:20">
      <c r="E11" s="35" t="s">
        <v>144</v>
      </c>
      <c r="F11" s="106">
        <v>650000</v>
      </c>
      <c r="G11" s="58"/>
      <c r="H11" s="171">
        <f ca="1">AVERAGE(Table14[Profit])</f>
        <v>4000665.850677195</v>
      </c>
      <c r="I11" s="171"/>
      <c r="K11" s="35"/>
      <c r="R11" s="103">
        <f t="shared" ca="1" si="0"/>
        <v>4250000</v>
      </c>
      <c r="S11" s="102">
        <f ca="1"/>
        <v>40</v>
      </c>
      <c r="T11" s="108">
        <f ca="1">IF(ISBLANK(S11),"",SUM($S$6:S11)/Total_Trials)</f>
        <v>0.50800000000000001</v>
      </c>
    </row>
    <row r="12" spans="1:20">
      <c r="G12" s="58"/>
      <c r="K12" s="35"/>
      <c r="R12" s="103">
        <f t="shared" ca="1" si="0"/>
        <v>4900000</v>
      </c>
      <c r="S12" s="102">
        <f ca="1"/>
        <v>55</v>
      </c>
      <c r="T12" s="108">
        <f ca="1">IF(ISBLANK(S12),"",SUM($S$6:S12)/Total_Trials)</f>
        <v>0.72799999999999998</v>
      </c>
    </row>
    <row r="13" spans="1:20">
      <c r="E13" s="35" t="s">
        <v>145</v>
      </c>
      <c r="F13" s="110">
        <f ca="1">ROUNDUP(Range_of_Profits/F11,0)</f>
        <v>8</v>
      </c>
      <c r="G13" s="58"/>
      <c r="H13" s="90" t="s">
        <v>146</v>
      </c>
      <c r="K13" s="35"/>
      <c r="R13" s="103">
        <f t="shared" ca="1" si="0"/>
        <v>5550000</v>
      </c>
      <c r="S13" s="102">
        <f ca="1"/>
        <v>52</v>
      </c>
      <c r="T13" s="108">
        <f ca="1">IF(ISBLANK(S13),"",SUM($S$6:S13)/Total_Trials)</f>
        <v>0.93600000000000005</v>
      </c>
    </row>
    <row r="14" spans="1:20" ht="15" thickBot="1">
      <c r="G14" s="58"/>
      <c r="K14" s="35"/>
      <c r="R14" s="103">
        <f t="shared" ca="1" si="0"/>
        <v>6200000</v>
      </c>
      <c r="S14" s="102">
        <f ca="1"/>
        <v>16</v>
      </c>
      <c r="T14" s="108">
        <f ca="1">IF(ISBLANK(S14),"",SUM($S$6:S14)/Total_Trials)</f>
        <v>1</v>
      </c>
    </row>
    <row r="15" spans="1:20" ht="15" thickBot="1">
      <c r="D15" s="111" t="s">
        <v>147</v>
      </c>
      <c r="E15" s="111" t="s">
        <v>148</v>
      </c>
      <c r="F15" s="112" t="s">
        <v>149</v>
      </c>
      <c r="G15" s="58"/>
      <c r="H15" t="s">
        <v>150</v>
      </c>
      <c r="I15" s="113">
        <f ca="1">MIN(Table14[Profit])</f>
        <v>1333610.0377845261</v>
      </c>
      <c r="R15" s="103"/>
      <c r="S15" s="102">
        <f ca="1"/>
        <v>0</v>
      </c>
      <c r="T15" s="108">
        <f ca="1">IF(ISBLANK(S15),"",SUM($S$6:S15)/Total_Trials)</f>
        <v>1</v>
      </c>
    </row>
    <row r="16" spans="1:20">
      <c r="D16" s="114">
        <v>0.05</v>
      </c>
      <c r="E16" s="115">
        <v>0</v>
      </c>
      <c r="F16" s="114">
        <v>0.2</v>
      </c>
      <c r="H16" t="s">
        <v>151</v>
      </c>
      <c r="I16" s="113">
        <f ca="1">MAX(Table14[Profit])</f>
        <v>6076583.5512622092</v>
      </c>
      <c r="J16" s="116"/>
      <c r="K16" s="55"/>
      <c r="R16" s="103"/>
      <c r="S16" s="102" t="e">
        <f ca="1"/>
        <v>#N/A</v>
      </c>
      <c r="T16" s="108" t="e">
        <f ca="1">IF(ISBLANK(S16),"",SUM($S$6:S16)/Total_Trials)</f>
        <v>#N/A</v>
      </c>
    </row>
    <row r="17" spans="1:20">
      <c r="D17" s="117">
        <v>0.1</v>
      </c>
      <c r="E17" s="118">
        <f>E16+D16</f>
        <v>0.05</v>
      </c>
      <c r="F17" s="117">
        <v>0.3</v>
      </c>
      <c r="H17" t="s">
        <v>152</v>
      </c>
      <c r="I17" s="113">
        <f ca="1">I16-I15</f>
        <v>4742973.5134776831</v>
      </c>
      <c r="J17" s="116"/>
      <c r="K17" s="55"/>
      <c r="R17" s="103"/>
      <c r="S17" s="102" t="e">
        <f ca="1"/>
        <v>#N/A</v>
      </c>
      <c r="T17" s="108" t="e">
        <f ca="1">IF(ISBLANK(S17),"",SUM($S$6:S17)/Total_Trials)</f>
        <v>#N/A</v>
      </c>
    </row>
    <row r="18" spans="1:20">
      <c r="D18" s="117">
        <v>0.15</v>
      </c>
      <c r="E18" s="118">
        <f>E17+D17</f>
        <v>0.15000000000000002</v>
      </c>
      <c r="F18" s="117">
        <v>0.4</v>
      </c>
      <c r="H18" t="s">
        <v>153</v>
      </c>
      <c r="I18" s="119">
        <f ca="1">COUNTIF(Table14[Profit],"&lt;"&amp;H11)</f>
        <v>117</v>
      </c>
      <c r="J18" s="116"/>
      <c r="K18" s="55"/>
      <c r="R18" s="103"/>
      <c r="S18" s="102" t="e">
        <f ca="1"/>
        <v>#N/A</v>
      </c>
      <c r="T18" s="108" t="e">
        <f ca="1">IF(ISBLANK(S18),"",SUM($S$6:S18)/Total_Trials)</f>
        <v>#N/A</v>
      </c>
    </row>
    <row r="19" spans="1:20">
      <c r="D19" s="120">
        <v>0.2</v>
      </c>
      <c r="E19" s="118">
        <f>E18+D18</f>
        <v>0.30000000000000004</v>
      </c>
      <c r="F19" s="120">
        <v>0.5</v>
      </c>
      <c r="H19" t="s">
        <v>154</v>
      </c>
      <c r="I19" s="119">
        <f>COUNT(Table14[Trial])</f>
        <v>250</v>
      </c>
      <c r="J19" s="116"/>
      <c r="K19" s="55"/>
      <c r="R19" s="103"/>
      <c r="S19" s="102" t="e">
        <f ca="1"/>
        <v>#N/A</v>
      </c>
      <c r="T19" s="108" t="e">
        <f ca="1">IF(ISBLANK(S19),"",SUM($S$6:S19)/Total_Trials)</f>
        <v>#N/A</v>
      </c>
    </row>
    <row r="20" spans="1:20">
      <c r="D20" s="120">
        <v>0.25</v>
      </c>
      <c r="E20" s="118">
        <f>E19+D19</f>
        <v>0.5</v>
      </c>
      <c r="F20" s="120">
        <v>0.6</v>
      </c>
      <c r="H20" s="60" t="s">
        <v>155</v>
      </c>
      <c r="J20" s="116"/>
      <c r="K20" s="55"/>
      <c r="R20" s="103"/>
      <c r="S20" s="102" t="e">
        <f ca="1"/>
        <v>#N/A</v>
      </c>
      <c r="T20" s="108" t="e">
        <f ca="1">IF(ISBLANK(S20),"",SUM($S$6:S20)/Total_Trials)</f>
        <v>#N/A</v>
      </c>
    </row>
    <row r="21" spans="1:20" ht="15" thickBot="1">
      <c r="D21" s="121">
        <v>0.25</v>
      </c>
      <c r="E21" s="122">
        <f>E20+D20</f>
        <v>0.75</v>
      </c>
      <c r="F21" s="121">
        <v>0.7</v>
      </c>
      <c r="I21" s="123">
        <f ca="1">Trials_below_Mean/Total_Trials</f>
        <v>0.46800000000000003</v>
      </c>
      <c r="J21" s="116"/>
      <c r="K21" s="55"/>
      <c r="R21" s="103"/>
      <c r="S21" s="102" t="e">
        <f ca="1"/>
        <v>#N/A</v>
      </c>
      <c r="T21" s="108" t="e">
        <f ca="1">IF(ISBLANK(S21),"",SUM($S$6:S21)/Total_Trials)</f>
        <v>#N/A</v>
      </c>
    </row>
    <row r="22" spans="1:20">
      <c r="H22" s="60" t="s">
        <v>156</v>
      </c>
      <c r="J22" s="116"/>
      <c r="K22" s="55"/>
      <c r="R22" s="103"/>
      <c r="S22" s="102" t="e">
        <f ca="1"/>
        <v>#N/A</v>
      </c>
      <c r="T22" s="108" t="e">
        <f ca="1">IF(ISBLANK(S22),"",SUM($S$6:S22)/Total_Trials)</f>
        <v>#N/A</v>
      </c>
    </row>
    <row r="23" spans="1:20">
      <c r="D23" s="172" t="s">
        <v>157</v>
      </c>
      <c r="E23" s="172"/>
      <c r="F23" s="172"/>
      <c r="I23" s="123">
        <f ca="1">COUNTIF(Table14[Profit],Maximum_Profit)/Total_Trials</f>
        <v>4.0000000000000001E-3</v>
      </c>
      <c r="J23" s="116"/>
      <c r="K23" s="55"/>
      <c r="R23" s="103"/>
      <c r="S23" s="102" t="e">
        <f ca="1"/>
        <v>#N/A</v>
      </c>
      <c r="T23" s="108" t="e">
        <f ca="1">IF(ISBLANK(S23),"",SUM($S$6:S23)/Total_Trials)</f>
        <v>#N/A</v>
      </c>
    </row>
    <row r="24" spans="1:20">
      <c r="D24" s="173" t="s">
        <v>158</v>
      </c>
      <c r="E24" s="173"/>
      <c r="F24" s="173"/>
      <c r="J24" s="116"/>
      <c r="K24" s="55"/>
      <c r="R24" s="102"/>
      <c r="S24" s="102" t="e">
        <f ca="1"/>
        <v>#N/A</v>
      </c>
      <c r="T24" s="108" t="e">
        <f ca="1">IF(ISBLANK(S24),"",SUM($S$6:S24)/Total_Trials)</f>
        <v>#N/A</v>
      </c>
    </row>
    <row r="25" spans="1:20">
      <c r="D25" s="173" t="s">
        <v>159</v>
      </c>
      <c r="E25" s="173"/>
      <c r="F25" s="173"/>
      <c r="J25" s="116"/>
      <c r="K25" s="55"/>
      <c r="R25" s="102"/>
      <c r="S25" s="102" t="e">
        <f ca="1"/>
        <v>#N/A</v>
      </c>
      <c r="T25" s="108" t="e">
        <f ca="1">IF(ISBLANK(S25),"",SUM($S$6:S25)/Total_Trials)</f>
        <v>#N/A</v>
      </c>
    </row>
    <row r="26" spans="1:20">
      <c r="D26" s="173" t="s">
        <v>160</v>
      </c>
      <c r="E26" s="173"/>
      <c r="F26" s="173"/>
      <c r="J26" s="35"/>
      <c r="R26" s="102"/>
      <c r="S26" s="102" t="e">
        <f ca="1"/>
        <v>#N/A</v>
      </c>
      <c r="T26" s="108" t="e">
        <f ca="1">IF(ISBLANK(S26),"",SUM($S$6:S26)/Total_Trials)</f>
        <v>#N/A</v>
      </c>
    </row>
    <row r="27" spans="1:20" ht="17.45">
      <c r="A27" s="166" t="s">
        <v>161</v>
      </c>
      <c r="B27" s="166"/>
      <c r="C27" s="166"/>
      <c r="D27" s="166"/>
      <c r="E27" s="166"/>
      <c r="F27" s="166"/>
      <c r="G27" s="166"/>
      <c r="H27" s="166"/>
      <c r="I27" s="166"/>
      <c r="R27" s="102"/>
      <c r="S27" s="102" t="e">
        <f ca="1"/>
        <v>#N/A</v>
      </c>
      <c r="T27" s="108" t="e">
        <f ca="1">IF(ISBLANK(S27),"",SUM($S$6:S27)/Total_Trials)</f>
        <v>#N/A</v>
      </c>
    </row>
    <row r="28" spans="1:20" s="85" customFormat="1" ht="43.15">
      <c r="A28" s="43" t="s">
        <v>162</v>
      </c>
      <c r="B28" s="43" t="s">
        <v>163</v>
      </c>
      <c r="C28" s="43" t="s">
        <v>164</v>
      </c>
      <c r="D28" s="43" t="s">
        <v>165</v>
      </c>
      <c r="E28" s="43" t="s">
        <v>166</v>
      </c>
      <c r="F28" s="43" t="s">
        <v>167</v>
      </c>
      <c r="G28" s="43" t="s">
        <v>168</v>
      </c>
      <c r="H28" s="43" t="s">
        <v>169</v>
      </c>
      <c r="I28" s="43" t="s">
        <v>170</v>
      </c>
      <c r="J28" s="43"/>
      <c r="K28" s="43"/>
      <c r="R28" s="102"/>
      <c r="S28" s="107" t="e">
        <f ca="1"/>
        <v>#N/A</v>
      </c>
      <c r="T28" s="108" t="e">
        <f ca="1">IF(ISBLANK(S28),"",SUM($S$6:S28)/Total_Trials)</f>
        <v>#N/A</v>
      </c>
    </row>
    <row r="29" spans="1:20">
      <c r="A29">
        <v>1</v>
      </c>
      <c r="B29">
        <f t="shared" ref="B29:B92" ca="1" si="1">RAND()</f>
        <v>0.22543338791428702</v>
      </c>
      <c r="C29" s="51">
        <f ca="1">_xlfn.NORM.INV(Table14[[#This Row],[Random '# for LT Demand]],Expected_LT_Demand,$F$8)*1000</f>
        <v>1809612.69798181</v>
      </c>
      <c r="D29">
        <f t="shared" ref="D29:D92" ca="1" si="2">RAND()</f>
        <v>0.52809928104648507</v>
      </c>
      <c r="E29" s="55">
        <f ca="1">VLOOKUP(Table14[[#This Row],[Random '# for Share ]],$E$16:$F$21,2,TRUE)</f>
        <v>0.6</v>
      </c>
      <c r="F29" s="56">
        <f ca="1">Table14[[#This Row],[Lead Time Demand]]*Table14[[#This Row],[Share % 
(based on 
Random '#)]]</f>
        <v>1085767.6187890859</v>
      </c>
      <c r="G29" s="124">
        <f ca="1">Table14[[#This Row],[Share of Lead Time Demand (Units)]]*Unit_price</f>
        <v>8686140.9503126871</v>
      </c>
      <c r="H29" s="125">
        <f ca="1">Table14[[#This Row],[Share of Lead Time Demand (Units)]]*Unit_cost</f>
        <v>4343070.4751563435</v>
      </c>
      <c r="I29" s="125">
        <f ca="1">Table14[[#This Row],[Revenue]]-Table14[[#This Row],[Costs]]</f>
        <v>4343070.4751563435</v>
      </c>
      <c r="T29" s="55" t="str">
        <f>IF(ISBLANK(S29),"",SUM($S$6:S29)/Total_Trials)</f>
        <v/>
      </c>
    </row>
    <row r="30" spans="1:20">
      <c r="A30">
        <v>2</v>
      </c>
      <c r="B30">
        <f t="shared" ca="1" si="1"/>
        <v>0.75591290157792956</v>
      </c>
      <c r="C30" s="51">
        <f ca="1">_xlfn.NORM.INV(Table14[[#This Row],[Random '# for LT Demand]],Expected_LT_Demand,$F$8)*1000</f>
        <v>1985560.8882167689</v>
      </c>
      <c r="D30">
        <f ca="1">RAND()</f>
        <v>0.26609399351888841</v>
      </c>
      <c r="E30" s="55">
        <f ca="1">VLOOKUP(Table14[[#This Row],[Random '# for Share ]],$E$16:$F$21,2,TRUE)</f>
        <v>0.4</v>
      </c>
      <c r="F30" s="56">
        <f ca="1">Table14[[#This Row],[Lead Time Demand]]*Table14[[#This Row],[Share % 
(based on 
Random '#)]]</f>
        <v>794224.35528670764</v>
      </c>
      <c r="G30" s="124">
        <f ca="1">Table14[[#This Row],[Share of Lead Time Demand (Units)]]*Unit_price</f>
        <v>6353794.8422936611</v>
      </c>
      <c r="H30" s="125">
        <f ca="1">Table14[[#This Row],[Share of Lead Time Demand (Units)]]*Unit_cost</f>
        <v>3176897.4211468305</v>
      </c>
      <c r="I30" s="125">
        <f ca="1">Table14[[#This Row],[Revenue]]-Table14[[#This Row],[Costs]]</f>
        <v>3176897.4211468305</v>
      </c>
      <c r="T30" s="55" t="str">
        <f>IF(ISBLANK(S30),"",SUM($S$6:S30)/Total_Trials)</f>
        <v/>
      </c>
    </row>
    <row r="31" spans="1:20">
      <c r="A31">
        <v>3</v>
      </c>
      <c r="B31">
        <f t="shared" ca="1" si="1"/>
        <v>0.62466239058304041</v>
      </c>
      <c r="C31" s="51">
        <f ca="1">_xlfn.NORM.INV(Table14[[#This Row],[Random '# for LT Demand]],Expected_LT_Demand,$F$8)*1000</f>
        <v>1939911.8581969081</v>
      </c>
      <c r="D31">
        <f t="shared" ca="1" si="2"/>
        <v>0.23041352459202114</v>
      </c>
      <c r="E31" s="55">
        <f ca="1">VLOOKUP(Table14[[#This Row],[Random '# for Share ]],$E$16:$F$21,2,TRUE)</f>
        <v>0.4</v>
      </c>
      <c r="F31" s="56">
        <f ca="1">Table14[[#This Row],[Lead Time Demand]]*Table14[[#This Row],[Share % 
(based on 
Random '#)]]</f>
        <v>775964.74327876326</v>
      </c>
      <c r="G31" s="124">
        <f ca="1">Table14[[#This Row],[Share of Lead Time Demand (Units)]]*Unit_price</f>
        <v>6207717.9462301061</v>
      </c>
      <c r="H31" s="125">
        <f ca="1">Table14[[#This Row],[Share of Lead Time Demand (Units)]]*Unit_cost</f>
        <v>3103858.973115053</v>
      </c>
      <c r="I31" s="125">
        <f ca="1">Table14[[#This Row],[Revenue]]-Table14[[#This Row],[Costs]]</f>
        <v>3103858.973115053</v>
      </c>
      <c r="T31" s="55" t="str">
        <f>IF(ISBLANK(S31),"",SUM($S$6:S31)/Total_Trials)</f>
        <v/>
      </c>
    </row>
    <row r="32" spans="1:20">
      <c r="A32">
        <v>4</v>
      </c>
      <c r="B32">
        <f t="shared" ca="1" si="1"/>
        <v>0.21235343195507994</v>
      </c>
      <c r="C32" s="51">
        <f ca="1">_xlfn.NORM.INV(Table14[[#This Row],[Random '# for LT Demand]],Expected_LT_Demand,$F$8)*1000</f>
        <v>1804225.3614168803</v>
      </c>
      <c r="D32">
        <f t="shared" ca="1" si="2"/>
        <v>0.16734461285101165</v>
      </c>
      <c r="E32" s="55">
        <f ca="1">VLOOKUP(Table14[[#This Row],[Random '# for Share ]],$E$16:$F$21,2,TRUE)</f>
        <v>0.4</v>
      </c>
      <c r="F32" s="56">
        <f ca="1">Table14[[#This Row],[Lead Time Demand]]*Table14[[#This Row],[Share % 
(based on 
Random '#)]]</f>
        <v>721690.14456675213</v>
      </c>
      <c r="G32" s="124">
        <f ca="1">Table14[[#This Row],[Share of Lead Time Demand (Units)]]*Unit_price</f>
        <v>5773521.1565340171</v>
      </c>
      <c r="H32" s="125">
        <f ca="1">Table14[[#This Row],[Share of Lead Time Demand (Units)]]*Unit_cost</f>
        <v>2886760.5782670085</v>
      </c>
      <c r="I32" s="125">
        <f ca="1">Table14[[#This Row],[Revenue]]-Table14[[#This Row],[Costs]]</f>
        <v>2886760.5782670085</v>
      </c>
    </row>
    <row r="33" spans="1:9">
      <c r="A33">
        <v>5</v>
      </c>
      <c r="B33">
        <f t="shared" ca="1" si="1"/>
        <v>0.68657807563706297</v>
      </c>
      <c r="C33" s="51">
        <f ca="1">_xlfn.NORM.INV(Table14[[#This Row],[Random '# for LT Demand]],Expected_LT_Demand,$F$8)*1000</f>
        <v>1960388.8565429053</v>
      </c>
      <c r="D33">
        <f t="shared" ca="1" si="2"/>
        <v>0.85043188980300621</v>
      </c>
      <c r="E33" s="55">
        <f ca="1">VLOOKUP(Table14[[#This Row],[Random '# for Share ]],$E$16:$F$21,2,TRUE)</f>
        <v>0.7</v>
      </c>
      <c r="F33" s="56">
        <f ca="1">Table14[[#This Row],[Lead Time Demand]]*Table14[[#This Row],[Share % 
(based on 
Random '#)]]</f>
        <v>1372272.1995800335</v>
      </c>
      <c r="G33" s="124">
        <f ca="1">Table14[[#This Row],[Share of Lead Time Demand (Units)]]*Unit_price</f>
        <v>10978177.596640268</v>
      </c>
      <c r="H33" s="125">
        <f ca="1">Table14[[#This Row],[Share of Lead Time Demand (Units)]]*Unit_cost</f>
        <v>5489088.7983201342</v>
      </c>
      <c r="I33" s="125">
        <f ca="1">Table14[[#This Row],[Revenue]]-Table14[[#This Row],[Costs]]</f>
        <v>5489088.7983201342</v>
      </c>
    </row>
    <row r="34" spans="1:9">
      <c r="A34">
        <v>6</v>
      </c>
      <c r="B34">
        <f t="shared" ca="1" si="1"/>
        <v>0.77510256204840866</v>
      </c>
      <c r="C34" s="51">
        <f ca="1">_xlfn.NORM.INV(Table14[[#This Row],[Random '# for LT Demand]],Expected_LT_Demand,$F$8)*1000</f>
        <v>1993164.6327841836</v>
      </c>
      <c r="D34">
        <f t="shared" ca="1" si="2"/>
        <v>0.68333412510132208</v>
      </c>
      <c r="E34" s="55">
        <f ca="1">VLOOKUP(Table14[[#This Row],[Random '# for Share ]],$E$16:$F$21,2,TRUE)</f>
        <v>0.6</v>
      </c>
      <c r="F34" s="56">
        <f ca="1">Table14[[#This Row],[Lead Time Demand]]*Table14[[#This Row],[Share % 
(based on 
Random '#)]]</f>
        <v>1195898.7796705102</v>
      </c>
      <c r="G34" s="124">
        <f ca="1">Table14[[#This Row],[Share of Lead Time Demand (Units)]]*Unit_price</f>
        <v>9567190.2373640817</v>
      </c>
      <c r="H34" s="125">
        <f ca="1">Table14[[#This Row],[Share of Lead Time Demand (Units)]]*Unit_cost</f>
        <v>4783595.1186820408</v>
      </c>
      <c r="I34" s="125">
        <f ca="1">Table14[[#This Row],[Revenue]]-Table14[[#This Row],[Costs]]</f>
        <v>4783595.1186820408</v>
      </c>
    </row>
    <row r="35" spans="1:9">
      <c r="A35">
        <v>7</v>
      </c>
      <c r="B35">
        <f t="shared" ca="1" si="1"/>
        <v>0.57517814029059555</v>
      </c>
      <c r="C35" s="51">
        <f ca="1">_xlfn.NORM.INV(Table14[[#This Row],[Random '# for LT Demand]],Expected_LT_Demand,$F$8)*1000</f>
        <v>1924328.2705721867</v>
      </c>
      <c r="D35">
        <f t="shared" ca="1" si="2"/>
        <v>8.2828249008732424E-2</v>
      </c>
      <c r="E35" s="55">
        <f ca="1">VLOOKUP(Table14[[#This Row],[Random '# for Share ]],$E$16:$F$21,2,TRUE)</f>
        <v>0.3</v>
      </c>
      <c r="F35" s="56">
        <f ca="1">Table14[[#This Row],[Lead Time Demand]]*Table14[[#This Row],[Share % 
(based on 
Random '#)]]</f>
        <v>577298.48117165593</v>
      </c>
      <c r="G35" s="124">
        <f ca="1">Table14[[#This Row],[Share of Lead Time Demand (Units)]]*Unit_price</f>
        <v>4618387.8493732475</v>
      </c>
      <c r="H35" s="125">
        <f ca="1">Table14[[#This Row],[Share of Lead Time Demand (Units)]]*Unit_cost</f>
        <v>2309193.9246866237</v>
      </c>
      <c r="I35" s="125">
        <f ca="1">Table14[[#This Row],[Revenue]]-Table14[[#This Row],[Costs]]</f>
        <v>2309193.9246866237</v>
      </c>
    </row>
    <row r="36" spans="1:9">
      <c r="A36">
        <v>8</v>
      </c>
      <c r="B36">
        <f t="shared" ca="1" si="1"/>
        <v>0.78941270222362836</v>
      </c>
      <c r="C36" s="51">
        <f ca="1">_xlfn.NORM.INV(Table14[[#This Row],[Random '# for LT Demand]],Expected_LT_Demand,$F$8)*1000</f>
        <v>1999076.8086856571</v>
      </c>
      <c r="D36">
        <f t="shared" ca="1" si="2"/>
        <v>0.97550727497319123</v>
      </c>
      <c r="E36" s="55">
        <f ca="1">VLOOKUP(Table14[[#This Row],[Random '# for Share ]],$E$16:$F$21,2,TRUE)</f>
        <v>0.7</v>
      </c>
      <c r="F36" s="56">
        <f ca="1">Table14[[#This Row],[Lead Time Demand]]*Table14[[#This Row],[Share % 
(based on 
Random '#)]]</f>
        <v>1399353.7660799599</v>
      </c>
      <c r="G36" s="124">
        <f ca="1">Table14[[#This Row],[Share of Lead Time Demand (Units)]]*Unit_price</f>
        <v>11194830.128639679</v>
      </c>
      <c r="H36" s="125">
        <f ca="1">Table14[[#This Row],[Share of Lead Time Demand (Units)]]*Unit_cost</f>
        <v>5597415.0643198397</v>
      </c>
      <c r="I36" s="125">
        <f ca="1">Table14[[#This Row],[Revenue]]-Table14[[#This Row],[Costs]]</f>
        <v>5597415.0643198397</v>
      </c>
    </row>
    <row r="37" spans="1:9">
      <c r="A37">
        <v>9</v>
      </c>
      <c r="B37">
        <f t="shared" ca="1" si="1"/>
        <v>0.86989883256112077</v>
      </c>
      <c r="C37" s="51">
        <f ca="1">_xlfn.NORM.INV(Table14[[#This Row],[Random '# for LT Demand]],Expected_LT_Demand,$F$8)*1000</f>
        <v>2038168.007831723</v>
      </c>
      <c r="D37">
        <f t="shared" ca="1" si="2"/>
        <v>0.98716457071230335</v>
      </c>
      <c r="E37" s="55">
        <f ca="1">VLOOKUP(Table14[[#This Row],[Random '# for Share ]],$E$16:$F$21,2,TRUE)</f>
        <v>0.7</v>
      </c>
      <c r="F37" s="56">
        <f ca="1">Table14[[#This Row],[Lead Time Demand]]*Table14[[#This Row],[Share % 
(based on 
Random '#)]]</f>
        <v>1426717.605482206</v>
      </c>
      <c r="G37" s="124">
        <f ca="1">Table14[[#This Row],[Share of Lead Time Demand (Units)]]*Unit_price</f>
        <v>11413740.843857648</v>
      </c>
      <c r="H37" s="125">
        <f ca="1">Table14[[#This Row],[Share of Lead Time Demand (Units)]]*Unit_cost</f>
        <v>5706870.4219288239</v>
      </c>
      <c r="I37" s="125">
        <f ca="1">Table14[[#This Row],[Revenue]]-Table14[[#This Row],[Costs]]</f>
        <v>5706870.4219288239</v>
      </c>
    </row>
    <row r="38" spans="1:9">
      <c r="A38">
        <v>10</v>
      </c>
      <c r="B38">
        <f t="shared" ca="1" si="1"/>
        <v>0.89712616590559169</v>
      </c>
      <c r="C38" s="51">
        <f ca="1">_xlfn.NORM.INV(Table14[[#This Row],[Random '# for LT Demand]],Expected_LT_Demand,$F$8)*1000</f>
        <v>2055120.0804664658</v>
      </c>
      <c r="D38">
        <f t="shared" ca="1" si="2"/>
        <v>0.87015358808307119</v>
      </c>
      <c r="E38" s="55">
        <f ca="1">VLOOKUP(Table14[[#This Row],[Random '# for Share ]],$E$16:$F$21,2,TRUE)</f>
        <v>0.7</v>
      </c>
      <c r="F38" s="56">
        <f ca="1">Table14[[#This Row],[Lead Time Demand]]*Table14[[#This Row],[Share % 
(based on 
Random '#)]]</f>
        <v>1438584.056326526</v>
      </c>
      <c r="G38" s="124">
        <f ca="1">Table14[[#This Row],[Share of Lead Time Demand (Units)]]*Unit_price</f>
        <v>11508672.450612208</v>
      </c>
      <c r="H38" s="125">
        <f ca="1">Table14[[#This Row],[Share of Lead Time Demand (Units)]]*Unit_cost</f>
        <v>5754336.2253061039</v>
      </c>
      <c r="I38" s="125">
        <f ca="1">Table14[[#This Row],[Revenue]]-Table14[[#This Row],[Costs]]</f>
        <v>5754336.2253061039</v>
      </c>
    </row>
    <row r="39" spans="1:9">
      <c r="A39">
        <v>11</v>
      </c>
      <c r="B39">
        <f t="shared" ca="1" si="1"/>
        <v>0.3184653708988161</v>
      </c>
      <c r="C39" s="51">
        <f ca="1">_xlfn.NORM.INV(Table14[[#This Row],[Random '# for LT Demand]],Expected_LT_Demand,$F$8)*1000</f>
        <v>1843895.2328484862</v>
      </c>
      <c r="D39">
        <f t="shared" ca="1" si="2"/>
        <v>0.28086770815593476</v>
      </c>
      <c r="E39" s="55">
        <f ca="1">VLOOKUP(Table14[[#This Row],[Random '# for Share ]],$E$16:$F$21,2,TRUE)</f>
        <v>0.4</v>
      </c>
      <c r="F39" s="56">
        <f ca="1">Table14[[#This Row],[Lead Time Demand]]*Table14[[#This Row],[Share % 
(based on 
Random '#)]]</f>
        <v>737558.09313939454</v>
      </c>
      <c r="G39" s="124">
        <f ca="1">Table14[[#This Row],[Share of Lead Time Demand (Units)]]*Unit_price</f>
        <v>5900464.7451151563</v>
      </c>
      <c r="H39" s="125">
        <f ca="1">Table14[[#This Row],[Share of Lead Time Demand (Units)]]*Unit_cost</f>
        <v>2950232.3725575781</v>
      </c>
      <c r="I39" s="125">
        <f ca="1">Table14[[#This Row],[Revenue]]-Table14[[#This Row],[Costs]]</f>
        <v>2950232.3725575781</v>
      </c>
    </row>
    <row r="40" spans="1:9">
      <c r="A40">
        <v>12</v>
      </c>
      <c r="B40">
        <f t="shared" ca="1" si="1"/>
        <v>0.92298439650037767</v>
      </c>
      <c r="C40" s="51">
        <f ca="1">_xlfn.NORM.INV(Table14[[#This Row],[Random '# for LT Demand]],Expected_LT_Demand,$F$8)*1000</f>
        <v>2074583.8580857448</v>
      </c>
      <c r="D40">
        <f t="shared" ca="1" si="2"/>
        <v>0.83199769736735207</v>
      </c>
      <c r="E40" s="55">
        <f ca="1">VLOOKUP(Table14[[#This Row],[Random '# for Share ]],$E$16:$F$21,2,TRUE)</f>
        <v>0.7</v>
      </c>
      <c r="F40" s="56">
        <f ca="1">Table14[[#This Row],[Lead Time Demand]]*Table14[[#This Row],[Share % 
(based on 
Random '#)]]</f>
        <v>1452208.7006600213</v>
      </c>
      <c r="G40" s="124">
        <f ca="1">Table14[[#This Row],[Share of Lead Time Demand (Units)]]*Unit_price</f>
        <v>11617669.60528017</v>
      </c>
      <c r="H40" s="125">
        <f ca="1">Table14[[#This Row],[Share of Lead Time Demand (Units)]]*Unit_cost</f>
        <v>5808834.8026400851</v>
      </c>
      <c r="I40" s="125">
        <f ca="1">Table14[[#This Row],[Revenue]]-Table14[[#This Row],[Costs]]</f>
        <v>5808834.8026400851</v>
      </c>
    </row>
    <row r="41" spans="1:9">
      <c r="A41">
        <v>13</v>
      </c>
      <c r="B41">
        <f t="shared" ca="1" si="1"/>
        <v>0.23631299582196874</v>
      </c>
      <c r="C41" s="51">
        <f ca="1">_xlfn.NORM.INV(Table14[[#This Row],[Random '# for LT Demand]],Expected_LT_Demand,$F$8)*1000</f>
        <v>1813960.1144560913</v>
      </c>
      <c r="D41">
        <f t="shared" ca="1" si="2"/>
        <v>0.70989372242237114</v>
      </c>
      <c r="E41" s="55">
        <f ca="1">VLOOKUP(Table14[[#This Row],[Random '# for Share ]],$E$16:$F$21,2,TRUE)</f>
        <v>0.6</v>
      </c>
      <c r="F41" s="56">
        <f ca="1">Table14[[#This Row],[Lead Time Demand]]*Table14[[#This Row],[Share % 
(based on 
Random '#)]]</f>
        <v>1088376.0686736547</v>
      </c>
      <c r="G41" s="124">
        <f ca="1">Table14[[#This Row],[Share of Lead Time Demand (Units)]]*Unit_price</f>
        <v>8707008.5493892375</v>
      </c>
      <c r="H41" s="125">
        <f ca="1">Table14[[#This Row],[Share of Lead Time Demand (Units)]]*Unit_cost</f>
        <v>4353504.2746946188</v>
      </c>
      <c r="I41" s="125">
        <f ca="1">Table14[[#This Row],[Revenue]]-Table14[[#This Row],[Costs]]</f>
        <v>4353504.2746946188</v>
      </c>
    </row>
    <row r="42" spans="1:9">
      <c r="A42">
        <v>14</v>
      </c>
      <c r="B42">
        <f t="shared" ca="1" si="1"/>
        <v>0.19318959421136128</v>
      </c>
      <c r="C42" s="51">
        <f ca="1">_xlfn.NORM.INV(Table14[[#This Row],[Random '# for LT Demand]],Expected_LT_Demand,$F$8)*1000</f>
        <v>1795967.635790494</v>
      </c>
      <c r="D42">
        <f t="shared" ca="1" si="2"/>
        <v>0.59383069951745293</v>
      </c>
      <c r="E42" s="55">
        <f ca="1">VLOOKUP(Table14[[#This Row],[Random '# for Share ]],$E$16:$F$21,2,TRUE)</f>
        <v>0.6</v>
      </c>
      <c r="F42" s="56">
        <f ca="1">Table14[[#This Row],[Lead Time Demand]]*Table14[[#This Row],[Share % 
(based on 
Random '#)]]</f>
        <v>1077580.5814742963</v>
      </c>
      <c r="G42" s="124">
        <f ca="1">Table14[[#This Row],[Share of Lead Time Demand (Units)]]*Unit_price</f>
        <v>8620644.6517943703</v>
      </c>
      <c r="H42" s="125">
        <f ca="1">Table14[[#This Row],[Share of Lead Time Demand (Units)]]*Unit_cost</f>
        <v>4310322.3258971851</v>
      </c>
      <c r="I42" s="125">
        <f ca="1">Table14[[#This Row],[Revenue]]-Table14[[#This Row],[Costs]]</f>
        <v>4310322.3258971851</v>
      </c>
    </row>
    <row r="43" spans="1:9">
      <c r="A43">
        <v>15</v>
      </c>
      <c r="B43">
        <f t="shared" ca="1" si="1"/>
        <v>0.98691506393741846</v>
      </c>
      <c r="C43" s="51">
        <f ca="1">_xlfn.NORM.INV(Table14[[#This Row],[Random '# for LT Demand]],Expected_LT_Demand,$F$8)*1000</f>
        <v>2171634.1528720106</v>
      </c>
      <c r="D43">
        <f t="shared" ca="1" si="2"/>
        <v>0.39447947677448336</v>
      </c>
      <c r="E43" s="55">
        <f ca="1">VLOOKUP(Table14[[#This Row],[Random '# for Share ]],$E$16:$F$21,2,TRUE)</f>
        <v>0.5</v>
      </c>
      <c r="F43" s="56">
        <f ca="1">Table14[[#This Row],[Lead Time Demand]]*Table14[[#This Row],[Share % 
(based on 
Random '#)]]</f>
        <v>1085817.0764360053</v>
      </c>
      <c r="G43" s="124">
        <f ca="1">Table14[[#This Row],[Share of Lead Time Demand (Units)]]*Unit_price</f>
        <v>8686536.6114880424</v>
      </c>
      <c r="H43" s="125">
        <f ca="1">Table14[[#This Row],[Share of Lead Time Demand (Units)]]*Unit_cost</f>
        <v>4343268.3057440212</v>
      </c>
      <c r="I43" s="125">
        <f ca="1">Table14[[#This Row],[Revenue]]-Table14[[#This Row],[Costs]]</f>
        <v>4343268.3057440212</v>
      </c>
    </row>
    <row r="44" spans="1:9">
      <c r="A44">
        <v>16</v>
      </c>
      <c r="B44">
        <f t="shared" ca="1" si="1"/>
        <v>0.17825916136965891</v>
      </c>
      <c r="C44" s="51">
        <f ca="1">_xlfn.NORM.INV(Table14[[#This Row],[Random '# for LT Demand]],Expected_LT_Demand,$F$8)*1000</f>
        <v>1789181.3998769599</v>
      </c>
      <c r="D44">
        <f t="shared" ca="1" si="2"/>
        <v>0.9873066734029754</v>
      </c>
      <c r="E44" s="55">
        <f ca="1">VLOOKUP(Table14[[#This Row],[Random '# for Share ]],$E$16:$F$21,2,TRUE)</f>
        <v>0.7</v>
      </c>
      <c r="F44" s="56">
        <f ca="1">Table14[[#This Row],[Lead Time Demand]]*Table14[[#This Row],[Share % 
(based on 
Random '#)]]</f>
        <v>1252426.9799138717</v>
      </c>
      <c r="G44" s="124">
        <f ca="1">Table14[[#This Row],[Share of Lead Time Demand (Units)]]*Unit_price</f>
        <v>10019415.839310974</v>
      </c>
      <c r="H44" s="125">
        <f ca="1">Table14[[#This Row],[Share of Lead Time Demand (Units)]]*Unit_cost</f>
        <v>5009707.9196554869</v>
      </c>
      <c r="I44" s="125">
        <f ca="1">Table14[[#This Row],[Revenue]]-Table14[[#This Row],[Costs]]</f>
        <v>5009707.9196554869</v>
      </c>
    </row>
    <row r="45" spans="1:9">
      <c r="A45">
        <v>17</v>
      </c>
      <c r="B45">
        <f t="shared" ca="1" si="1"/>
        <v>0.29348066447481025</v>
      </c>
      <c r="C45" s="51">
        <f ca="1">_xlfn.NORM.INV(Table14[[#This Row],[Random '# for LT Demand]],Expected_LT_Demand,$F$8)*1000</f>
        <v>1835232.6644867975</v>
      </c>
      <c r="D45">
        <f t="shared" ca="1" si="2"/>
        <v>0.92189128676627974</v>
      </c>
      <c r="E45" s="55">
        <f ca="1">VLOOKUP(Table14[[#This Row],[Random '# for Share ]],$E$16:$F$21,2,TRUE)</f>
        <v>0.7</v>
      </c>
      <c r="F45" s="56">
        <f ca="1">Table14[[#This Row],[Lead Time Demand]]*Table14[[#This Row],[Share % 
(based on 
Random '#)]]</f>
        <v>1284662.8651407582</v>
      </c>
      <c r="G45" s="124">
        <f ca="1">Table14[[#This Row],[Share of Lead Time Demand (Units)]]*Unit_price</f>
        <v>10277302.921126066</v>
      </c>
      <c r="H45" s="125">
        <f ca="1">Table14[[#This Row],[Share of Lead Time Demand (Units)]]*Unit_cost</f>
        <v>5138651.4605630329</v>
      </c>
      <c r="I45" s="125">
        <f ca="1">Table14[[#This Row],[Revenue]]-Table14[[#This Row],[Costs]]</f>
        <v>5138651.4605630329</v>
      </c>
    </row>
    <row r="46" spans="1:9">
      <c r="A46">
        <v>18</v>
      </c>
      <c r="B46">
        <f t="shared" ca="1" si="1"/>
        <v>5.4048249210174149E-2</v>
      </c>
      <c r="C46" s="51">
        <f ca="1">_xlfn.NORM.INV(Table14[[#This Row],[Random '# for LT Demand]],Expected_LT_Demand,$F$8)*1000</f>
        <v>1705925.1865076649</v>
      </c>
      <c r="D46">
        <f t="shared" ca="1" si="2"/>
        <v>0.57978539473414614</v>
      </c>
      <c r="E46" s="55">
        <f ca="1">VLOOKUP(Table14[[#This Row],[Random '# for Share ]],$E$16:$F$21,2,TRUE)</f>
        <v>0.6</v>
      </c>
      <c r="F46" s="56">
        <f ca="1">Table14[[#This Row],[Lead Time Demand]]*Table14[[#This Row],[Share % 
(based on 
Random '#)]]</f>
        <v>1023555.1119045989</v>
      </c>
      <c r="G46" s="124">
        <f ca="1">Table14[[#This Row],[Share of Lead Time Demand (Units)]]*Unit_price</f>
        <v>8188440.8952367911</v>
      </c>
      <c r="H46" s="125">
        <f ca="1">Table14[[#This Row],[Share of Lead Time Demand (Units)]]*Unit_cost</f>
        <v>4094220.4476183956</v>
      </c>
      <c r="I46" s="125">
        <f ca="1">Table14[[#This Row],[Revenue]]-Table14[[#This Row],[Costs]]</f>
        <v>4094220.4476183956</v>
      </c>
    </row>
    <row r="47" spans="1:9">
      <c r="A47">
        <v>19</v>
      </c>
      <c r="B47">
        <f t="shared" ca="1" si="1"/>
        <v>0.89557029388925813</v>
      </c>
      <c r="C47" s="51">
        <f ca="1">_xlfn.NORM.INV(Table14[[#This Row],[Random '# for LT Demand]],Expected_LT_Demand,$F$8)*1000</f>
        <v>2054069.9863785731</v>
      </c>
      <c r="D47">
        <f t="shared" ca="1" si="2"/>
        <v>0.39260366224372101</v>
      </c>
      <c r="E47" s="55">
        <f ca="1">VLOOKUP(Table14[[#This Row],[Random '# for Share ]],$E$16:$F$21,2,TRUE)</f>
        <v>0.5</v>
      </c>
      <c r="F47" s="56">
        <f ca="1">Table14[[#This Row],[Lead Time Demand]]*Table14[[#This Row],[Share % 
(based on 
Random '#)]]</f>
        <v>1027034.9931892866</v>
      </c>
      <c r="G47" s="124">
        <f ca="1">Table14[[#This Row],[Share of Lead Time Demand (Units)]]*Unit_price</f>
        <v>8216279.9455142925</v>
      </c>
      <c r="H47" s="125">
        <f ca="1">Table14[[#This Row],[Share of Lead Time Demand (Units)]]*Unit_cost</f>
        <v>4108139.9727571462</v>
      </c>
      <c r="I47" s="125">
        <f ca="1">Table14[[#This Row],[Revenue]]-Table14[[#This Row],[Costs]]</f>
        <v>4108139.9727571462</v>
      </c>
    </row>
    <row r="48" spans="1:9">
      <c r="A48">
        <v>20</v>
      </c>
      <c r="B48">
        <f t="shared" ca="1" si="1"/>
        <v>0.55675292596847215</v>
      </c>
      <c r="C48" s="51">
        <f ca="1">_xlfn.NORM.INV(Table14[[#This Row],[Random '# for LT Demand]],Expected_LT_Demand,$F$8)*1000</f>
        <v>1918634.5461263277</v>
      </c>
      <c r="D48">
        <f t="shared" ca="1" si="2"/>
        <v>0.99126984194461154</v>
      </c>
      <c r="E48" s="55">
        <f ca="1">VLOOKUP(Table14[[#This Row],[Random '# for Share ]],$E$16:$F$21,2,TRUE)</f>
        <v>0.7</v>
      </c>
      <c r="F48" s="56">
        <f ca="1">Table14[[#This Row],[Lead Time Demand]]*Table14[[#This Row],[Share % 
(based on 
Random '#)]]</f>
        <v>1343044.1822884292</v>
      </c>
      <c r="G48" s="124">
        <f ca="1">Table14[[#This Row],[Share of Lead Time Demand (Units)]]*Unit_price</f>
        <v>10744353.458307434</v>
      </c>
      <c r="H48" s="125">
        <f ca="1">Table14[[#This Row],[Share of Lead Time Demand (Units)]]*Unit_cost</f>
        <v>5372176.7291537169</v>
      </c>
      <c r="I48" s="125">
        <f ca="1">Table14[[#This Row],[Revenue]]-Table14[[#This Row],[Costs]]</f>
        <v>5372176.7291537169</v>
      </c>
    </row>
    <row r="49" spans="1:9">
      <c r="A49">
        <v>21</v>
      </c>
      <c r="B49">
        <f t="shared" ca="1" si="1"/>
        <v>0.81738404944386278</v>
      </c>
      <c r="C49" s="51">
        <f ca="1">_xlfn.NORM.INV(Table14[[#This Row],[Random '# for LT Demand]],Expected_LT_Demand,$F$8)*1000</f>
        <v>2011363.1091445524</v>
      </c>
      <c r="D49">
        <f t="shared" ca="1" si="2"/>
        <v>0.78836636336598787</v>
      </c>
      <c r="E49" s="55">
        <f ca="1">VLOOKUP(Table14[[#This Row],[Random '# for Share ]],$E$16:$F$21,2,TRUE)</f>
        <v>0.7</v>
      </c>
      <c r="F49" s="56">
        <f ca="1">Table14[[#This Row],[Lead Time Demand]]*Table14[[#This Row],[Share % 
(based on 
Random '#)]]</f>
        <v>1407954.1764011865</v>
      </c>
      <c r="G49" s="124">
        <f ca="1">Table14[[#This Row],[Share of Lead Time Demand (Units)]]*Unit_price</f>
        <v>11263633.411209492</v>
      </c>
      <c r="H49" s="125">
        <f ca="1">Table14[[#This Row],[Share of Lead Time Demand (Units)]]*Unit_cost</f>
        <v>5631816.705604746</v>
      </c>
      <c r="I49" s="125">
        <f ca="1">Table14[[#This Row],[Revenue]]-Table14[[#This Row],[Costs]]</f>
        <v>5631816.705604746</v>
      </c>
    </row>
    <row r="50" spans="1:9">
      <c r="A50">
        <v>22</v>
      </c>
      <c r="B50">
        <f t="shared" ca="1" si="1"/>
        <v>9.6919430398675344E-3</v>
      </c>
      <c r="C50" s="51">
        <f ca="1">_xlfn.NORM.INV(Table14[[#This Row],[Random '# for LT Demand]],Expected_LT_Demand,$F$8)*1000</f>
        <v>1617019.3538530855</v>
      </c>
      <c r="D50">
        <f t="shared" ca="1" si="2"/>
        <v>0.19785112007269745</v>
      </c>
      <c r="E50" s="55">
        <f ca="1">VLOOKUP(Table14[[#This Row],[Random '# for Share ]],$E$16:$F$21,2,TRUE)</f>
        <v>0.4</v>
      </c>
      <c r="F50" s="56">
        <f ca="1">Table14[[#This Row],[Lead Time Demand]]*Table14[[#This Row],[Share % 
(based on 
Random '#)]]</f>
        <v>646807.74154123431</v>
      </c>
      <c r="G50" s="124">
        <f ca="1">Table14[[#This Row],[Share of Lead Time Demand (Units)]]*Unit_price</f>
        <v>5174461.9323298745</v>
      </c>
      <c r="H50" s="125">
        <f ca="1">Table14[[#This Row],[Share of Lead Time Demand (Units)]]*Unit_cost</f>
        <v>2587230.9661649372</v>
      </c>
      <c r="I50" s="125">
        <f ca="1">Table14[[#This Row],[Revenue]]-Table14[[#This Row],[Costs]]</f>
        <v>2587230.9661649372</v>
      </c>
    </row>
    <row r="51" spans="1:9">
      <c r="A51">
        <v>23</v>
      </c>
      <c r="B51">
        <f t="shared" ca="1" si="1"/>
        <v>0.60689813365545642</v>
      </c>
      <c r="C51" s="51">
        <f ca="1">_xlfn.NORM.INV(Table14[[#This Row],[Random '# for LT Demand]],Expected_LT_Demand,$F$8)*1000</f>
        <v>1934257.7280599778</v>
      </c>
      <c r="D51">
        <f t="shared" ca="1" si="2"/>
        <v>0.51519966818291751</v>
      </c>
      <c r="E51" s="55">
        <f ca="1">VLOOKUP(Table14[[#This Row],[Random '# for Share ]],$E$16:$F$21,2,TRUE)</f>
        <v>0.6</v>
      </c>
      <c r="F51" s="56">
        <f ca="1">Table14[[#This Row],[Lead Time Demand]]*Table14[[#This Row],[Share % 
(based on 
Random '#)]]</f>
        <v>1160554.6368359865</v>
      </c>
      <c r="G51" s="124">
        <f ca="1">Table14[[#This Row],[Share of Lead Time Demand (Units)]]*Unit_price</f>
        <v>9284437.0946878921</v>
      </c>
      <c r="H51" s="125">
        <f ca="1">Table14[[#This Row],[Share of Lead Time Demand (Units)]]*Unit_cost</f>
        <v>4642218.5473439461</v>
      </c>
      <c r="I51" s="125">
        <f ca="1">Table14[[#This Row],[Revenue]]-Table14[[#This Row],[Costs]]</f>
        <v>4642218.5473439461</v>
      </c>
    </row>
    <row r="52" spans="1:9">
      <c r="A52">
        <v>24</v>
      </c>
      <c r="B52">
        <f t="shared" ca="1" si="1"/>
        <v>0.90751235480204873</v>
      </c>
      <c r="C52" s="51">
        <f ca="1">_xlfn.NORM.INV(Table14[[#This Row],[Random '# for LT Demand]],Expected_LT_Demand,$F$8)*1000</f>
        <v>2062444.7237901264</v>
      </c>
      <c r="D52">
        <f t="shared" ca="1" si="2"/>
        <v>1.7465348709150286E-3</v>
      </c>
      <c r="E52" s="55">
        <f ca="1">VLOOKUP(Table14[[#This Row],[Random '# for Share ]],$E$16:$F$21,2,TRUE)</f>
        <v>0.2</v>
      </c>
      <c r="F52" s="56">
        <f ca="1">Table14[[#This Row],[Lead Time Demand]]*Table14[[#This Row],[Share % 
(based on 
Random '#)]]</f>
        <v>412488.94475802529</v>
      </c>
      <c r="G52" s="124">
        <f ca="1">Table14[[#This Row],[Share of Lead Time Demand (Units)]]*Unit_price</f>
        <v>3299911.5580642023</v>
      </c>
      <c r="H52" s="125">
        <f ca="1">Table14[[#This Row],[Share of Lead Time Demand (Units)]]*Unit_cost</f>
        <v>1649955.7790321012</v>
      </c>
      <c r="I52" s="125">
        <f ca="1">Table14[[#This Row],[Revenue]]-Table14[[#This Row],[Costs]]</f>
        <v>1649955.7790321012</v>
      </c>
    </row>
    <row r="53" spans="1:9">
      <c r="A53">
        <v>25</v>
      </c>
      <c r="B53">
        <f t="shared" ca="1" si="1"/>
        <v>0.87587776864045874</v>
      </c>
      <c r="C53" s="51">
        <f ca="1">_xlfn.NORM.INV(Table14[[#This Row],[Random '# for LT Demand]],Expected_LT_Demand,$F$8)*1000</f>
        <v>2041658.6647919065</v>
      </c>
      <c r="D53">
        <f t="shared" ca="1" si="2"/>
        <v>0.10051399645172454</v>
      </c>
      <c r="E53" s="55">
        <f ca="1">VLOOKUP(Table14[[#This Row],[Random '# for Share ]],$E$16:$F$21,2,TRUE)</f>
        <v>0.3</v>
      </c>
      <c r="F53" s="56">
        <f ca="1">Table14[[#This Row],[Lead Time Demand]]*Table14[[#This Row],[Share % 
(based on 
Random '#)]]</f>
        <v>612497.59943757195</v>
      </c>
      <c r="G53" s="124">
        <f ca="1">Table14[[#This Row],[Share of Lead Time Demand (Units)]]*Unit_price</f>
        <v>4899980.7955005756</v>
      </c>
      <c r="H53" s="125">
        <f ca="1">Table14[[#This Row],[Share of Lead Time Demand (Units)]]*Unit_cost</f>
        <v>2449990.3977502878</v>
      </c>
      <c r="I53" s="125">
        <f ca="1">Table14[[#This Row],[Revenue]]-Table14[[#This Row],[Costs]]</f>
        <v>2449990.3977502878</v>
      </c>
    </row>
    <row r="54" spans="1:9">
      <c r="A54">
        <v>26</v>
      </c>
      <c r="B54">
        <f t="shared" ca="1" si="1"/>
        <v>0.44252702631556662</v>
      </c>
      <c r="C54" s="51">
        <f ca="1">_xlfn.NORM.INV(Table14[[#This Row],[Random '# for LT Demand]],Expected_LT_Demand,$F$8)*1000</f>
        <v>1883703.896138791</v>
      </c>
      <c r="D54">
        <f t="shared" ca="1" si="2"/>
        <v>0.94160563543072284</v>
      </c>
      <c r="E54" s="55">
        <f ca="1">VLOOKUP(Table14[[#This Row],[Random '# for Share ]],$E$16:$F$21,2,TRUE)</f>
        <v>0.7</v>
      </c>
      <c r="F54" s="56">
        <f ca="1">Table14[[#This Row],[Lead Time Demand]]*Table14[[#This Row],[Share % 
(based on 
Random '#)]]</f>
        <v>1318592.7272971536</v>
      </c>
      <c r="G54" s="124">
        <f ca="1">Table14[[#This Row],[Share of Lead Time Demand (Units)]]*Unit_price</f>
        <v>10548741.818377228</v>
      </c>
      <c r="H54" s="125">
        <f ca="1">Table14[[#This Row],[Share of Lead Time Demand (Units)]]*Unit_cost</f>
        <v>5274370.9091886142</v>
      </c>
      <c r="I54" s="125">
        <f ca="1">Table14[[#This Row],[Revenue]]-Table14[[#This Row],[Costs]]</f>
        <v>5274370.9091886142</v>
      </c>
    </row>
    <row r="55" spans="1:9">
      <c r="A55">
        <v>27</v>
      </c>
      <c r="B55">
        <f t="shared" ca="1" si="1"/>
        <v>3.5707791287271418E-2</v>
      </c>
      <c r="C55" s="51">
        <f ca="1">_xlfn.NORM.INV(Table14[[#This Row],[Random '# for LT Demand]],Expected_LT_Demand,$F$8)*1000</f>
        <v>1682093.4438910394</v>
      </c>
      <c r="D55">
        <f t="shared" ca="1" si="2"/>
        <v>0.34669823538561007</v>
      </c>
      <c r="E55" s="55">
        <f ca="1">VLOOKUP(Table14[[#This Row],[Random '# for Share ]],$E$16:$F$21,2,TRUE)</f>
        <v>0.5</v>
      </c>
      <c r="F55" s="56">
        <f ca="1">Table14[[#This Row],[Lead Time Demand]]*Table14[[#This Row],[Share % 
(based on 
Random '#)]]</f>
        <v>841046.72194551968</v>
      </c>
      <c r="G55" s="124">
        <f ca="1">Table14[[#This Row],[Share of Lead Time Demand (Units)]]*Unit_price</f>
        <v>6728373.7755641574</v>
      </c>
      <c r="H55" s="125">
        <f ca="1">Table14[[#This Row],[Share of Lead Time Demand (Units)]]*Unit_cost</f>
        <v>3364186.8877820787</v>
      </c>
      <c r="I55" s="125">
        <f ca="1">Table14[[#This Row],[Revenue]]-Table14[[#This Row],[Costs]]</f>
        <v>3364186.8877820787</v>
      </c>
    </row>
    <row r="56" spans="1:9">
      <c r="A56">
        <v>28</v>
      </c>
      <c r="B56">
        <f t="shared" ca="1" si="1"/>
        <v>0.33124007999651994</v>
      </c>
      <c r="C56" s="51">
        <f ca="1">_xlfn.NORM.INV(Table14[[#This Row],[Random '# for LT Demand]],Expected_LT_Demand,$F$8)*1000</f>
        <v>1848211.6639189105</v>
      </c>
      <c r="D56">
        <f t="shared" ca="1" si="2"/>
        <v>0.78383596251808751</v>
      </c>
      <c r="E56" s="55">
        <f ca="1">VLOOKUP(Table14[[#This Row],[Random '# for Share ]],$E$16:$F$21,2,TRUE)</f>
        <v>0.7</v>
      </c>
      <c r="F56" s="56">
        <f ca="1">Table14[[#This Row],[Lead Time Demand]]*Table14[[#This Row],[Share % 
(based on 
Random '#)]]</f>
        <v>1293748.1647432372</v>
      </c>
      <c r="G56" s="124">
        <f ca="1">Table14[[#This Row],[Share of Lead Time Demand (Units)]]*Unit_price</f>
        <v>10349985.317945898</v>
      </c>
      <c r="H56" s="125">
        <f ca="1">Table14[[#This Row],[Share of Lead Time Demand (Units)]]*Unit_cost</f>
        <v>5174992.6589729488</v>
      </c>
      <c r="I56" s="125">
        <f ca="1">Table14[[#This Row],[Revenue]]-Table14[[#This Row],[Costs]]</f>
        <v>5174992.6589729488</v>
      </c>
    </row>
    <row r="57" spans="1:9">
      <c r="A57">
        <v>29</v>
      </c>
      <c r="B57">
        <f t="shared" ca="1" si="1"/>
        <v>0.5990256937650017</v>
      </c>
      <c r="C57" s="51">
        <f ca="1">_xlfn.NORM.INV(Table14[[#This Row],[Random '# for LT Demand]],Expected_LT_Demand,$F$8)*1000</f>
        <v>1931775.378952285</v>
      </c>
      <c r="D57">
        <f t="shared" ca="1" si="2"/>
        <v>5.0402649852280379E-2</v>
      </c>
      <c r="E57" s="55">
        <f ca="1">VLOOKUP(Table14[[#This Row],[Random '# for Share ]],$E$16:$F$21,2,TRUE)</f>
        <v>0.3</v>
      </c>
      <c r="F57" s="56">
        <f ca="1">Table14[[#This Row],[Lead Time Demand]]*Table14[[#This Row],[Share % 
(based on 
Random '#)]]</f>
        <v>579532.61368568544</v>
      </c>
      <c r="G57" s="124">
        <f ca="1">Table14[[#This Row],[Share of Lead Time Demand (Units)]]*Unit_price</f>
        <v>4636260.9094854835</v>
      </c>
      <c r="H57" s="125">
        <f ca="1">Table14[[#This Row],[Share of Lead Time Demand (Units)]]*Unit_cost</f>
        <v>2318130.4547427418</v>
      </c>
      <c r="I57" s="125">
        <f ca="1">Table14[[#This Row],[Revenue]]-Table14[[#This Row],[Costs]]</f>
        <v>2318130.4547427418</v>
      </c>
    </row>
    <row r="58" spans="1:9">
      <c r="A58">
        <v>30</v>
      </c>
      <c r="B58">
        <f t="shared" ca="1" si="1"/>
        <v>0.33560622889970615</v>
      </c>
      <c r="C58" s="51">
        <f ca="1">_xlfn.NORM.INV(Table14[[#This Row],[Random '# for LT Demand]],Expected_LT_Demand,$F$8)*1000</f>
        <v>1849671.4614669152</v>
      </c>
      <c r="D58">
        <f t="shared" ca="1" si="2"/>
        <v>0.63982719489969575</v>
      </c>
      <c r="E58" s="55">
        <f ca="1">VLOOKUP(Table14[[#This Row],[Random '# for Share ]],$E$16:$F$21,2,TRUE)</f>
        <v>0.6</v>
      </c>
      <c r="F58" s="56">
        <f ca="1">Table14[[#This Row],[Lead Time Demand]]*Table14[[#This Row],[Share % 
(based on 
Random '#)]]</f>
        <v>1109802.8768801491</v>
      </c>
      <c r="G58" s="124">
        <f ca="1">Table14[[#This Row],[Share of Lead Time Demand (Units)]]*Unit_price</f>
        <v>8878423.015041193</v>
      </c>
      <c r="H58" s="125">
        <f ca="1">Table14[[#This Row],[Share of Lead Time Demand (Units)]]*Unit_cost</f>
        <v>4439211.5075205965</v>
      </c>
      <c r="I58" s="125">
        <f ca="1">Table14[[#This Row],[Revenue]]-Table14[[#This Row],[Costs]]</f>
        <v>4439211.5075205965</v>
      </c>
    </row>
    <row r="59" spans="1:9">
      <c r="A59">
        <v>31</v>
      </c>
      <c r="B59">
        <f t="shared" ca="1" si="1"/>
        <v>5.3799589996124775E-2</v>
      </c>
      <c r="C59" s="51">
        <f ca="1">_xlfn.NORM.INV(Table14[[#This Row],[Random '# for LT Demand]],Expected_LT_Demand,$F$8)*1000</f>
        <v>1705649.1383739647</v>
      </c>
      <c r="D59">
        <f t="shared" ca="1" si="2"/>
        <v>0.78654820995813934</v>
      </c>
      <c r="E59" s="55">
        <f ca="1">VLOOKUP(Table14[[#This Row],[Random '# for Share ]],$E$16:$F$21,2,TRUE)</f>
        <v>0.7</v>
      </c>
      <c r="F59" s="56">
        <f ca="1">Table14[[#This Row],[Lead Time Demand]]*Table14[[#This Row],[Share % 
(based on 
Random '#)]]</f>
        <v>1193954.3968617753</v>
      </c>
      <c r="G59" s="124">
        <f ca="1">Table14[[#This Row],[Share of Lead Time Demand (Units)]]*Unit_price</f>
        <v>9551635.1748942025</v>
      </c>
      <c r="H59" s="125">
        <f ca="1">Table14[[#This Row],[Share of Lead Time Demand (Units)]]*Unit_cost</f>
        <v>4775817.5874471013</v>
      </c>
      <c r="I59" s="125">
        <f ca="1">Table14[[#This Row],[Revenue]]-Table14[[#This Row],[Costs]]</f>
        <v>4775817.5874471013</v>
      </c>
    </row>
    <row r="60" spans="1:9">
      <c r="A60">
        <v>32</v>
      </c>
      <c r="B60">
        <f t="shared" ca="1" si="1"/>
        <v>0.80175552573963116</v>
      </c>
      <c r="C60" s="51">
        <f ca="1">_xlfn.NORM.INV(Table14[[#This Row],[Random '# for LT Demand]],Expected_LT_Demand,$F$8)*1000</f>
        <v>2004368.3557344396</v>
      </c>
      <c r="D60">
        <f t="shared" ca="1" si="2"/>
        <v>0.72353321487648892</v>
      </c>
      <c r="E60" s="55">
        <f ca="1">VLOOKUP(Table14[[#This Row],[Random '# for Share ]],$E$16:$F$21,2,TRUE)</f>
        <v>0.6</v>
      </c>
      <c r="F60" s="56">
        <f ca="1">Table14[[#This Row],[Lead Time Demand]]*Table14[[#This Row],[Share % 
(based on 
Random '#)]]</f>
        <v>1202621.0134406637</v>
      </c>
      <c r="G60" s="124">
        <f ca="1">Table14[[#This Row],[Share of Lead Time Demand (Units)]]*Unit_price</f>
        <v>9620968.1075253095</v>
      </c>
      <c r="H60" s="125">
        <f ca="1">Table14[[#This Row],[Share of Lead Time Demand (Units)]]*Unit_cost</f>
        <v>4810484.0537626548</v>
      </c>
      <c r="I60" s="125">
        <f ca="1">Table14[[#This Row],[Revenue]]-Table14[[#This Row],[Costs]]</f>
        <v>4810484.0537626548</v>
      </c>
    </row>
    <row r="61" spans="1:9">
      <c r="A61">
        <v>33</v>
      </c>
      <c r="B61">
        <f t="shared" ca="1" si="1"/>
        <v>6.3701992669827789E-2</v>
      </c>
      <c r="C61" s="51">
        <f ca="1">_xlfn.NORM.INV(Table14[[#This Row],[Random '# for LT Demand]],Expected_LT_Demand,$F$8)*1000</f>
        <v>1715941.9513159555</v>
      </c>
      <c r="D61">
        <f t="shared" ca="1" si="2"/>
        <v>2.4818776846768587E-2</v>
      </c>
      <c r="E61" s="55">
        <f ca="1">VLOOKUP(Table14[[#This Row],[Random '# for Share ]],$E$16:$F$21,2,TRUE)</f>
        <v>0.2</v>
      </c>
      <c r="F61" s="56">
        <f ca="1">Table14[[#This Row],[Lead Time Demand]]*Table14[[#This Row],[Share % 
(based on 
Random '#)]]</f>
        <v>343188.39026319113</v>
      </c>
      <c r="G61" s="124">
        <f ca="1">Table14[[#This Row],[Share of Lead Time Demand (Units)]]*Unit_price</f>
        <v>2745507.1221055291</v>
      </c>
      <c r="H61" s="125">
        <f ca="1">Table14[[#This Row],[Share of Lead Time Demand (Units)]]*Unit_cost</f>
        <v>1372753.5610527645</v>
      </c>
      <c r="I61" s="125">
        <f ca="1">Table14[[#This Row],[Revenue]]-Table14[[#This Row],[Costs]]</f>
        <v>1372753.5610527645</v>
      </c>
    </row>
    <row r="62" spans="1:9">
      <c r="A62">
        <v>34</v>
      </c>
      <c r="B62">
        <f t="shared" ca="1" si="1"/>
        <v>0.1143953165508409</v>
      </c>
      <c r="C62" s="51">
        <f ca="1">_xlfn.NORM.INV(Table14[[#This Row],[Random '# for LT Demand]],Expected_LT_Demand,$F$8)*1000</f>
        <v>1754961.5974330956</v>
      </c>
      <c r="D62">
        <f t="shared" ca="1" si="2"/>
        <v>0.77655091481215666</v>
      </c>
      <c r="E62" s="55">
        <f ca="1">VLOOKUP(Table14[[#This Row],[Random '# for Share ]],$E$16:$F$21,2,TRUE)</f>
        <v>0.7</v>
      </c>
      <c r="F62" s="56">
        <f ca="1">Table14[[#This Row],[Lead Time Demand]]*Table14[[#This Row],[Share % 
(based on 
Random '#)]]</f>
        <v>1228473.1182031669</v>
      </c>
      <c r="G62" s="124">
        <f ca="1">Table14[[#This Row],[Share of Lead Time Demand (Units)]]*Unit_price</f>
        <v>9827784.945625335</v>
      </c>
      <c r="H62" s="125">
        <f ca="1">Table14[[#This Row],[Share of Lead Time Demand (Units)]]*Unit_cost</f>
        <v>4913892.4728126675</v>
      </c>
      <c r="I62" s="125">
        <f ca="1">Table14[[#This Row],[Revenue]]-Table14[[#This Row],[Costs]]</f>
        <v>4913892.4728126675</v>
      </c>
    </row>
    <row r="63" spans="1:9">
      <c r="A63">
        <v>35</v>
      </c>
      <c r="B63">
        <f t="shared" ca="1" si="1"/>
        <v>0.37408048909895408</v>
      </c>
      <c r="C63" s="51">
        <f ca="1">_xlfn.NORM.INV(Table14[[#This Row],[Random '# for LT Demand]],Expected_LT_Demand,$F$8)*1000</f>
        <v>1862245.1347014275</v>
      </c>
      <c r="D63">
        <f t="shared" ca="1" si="2"/>
        <v>0.77865662848274197</v>
      </c>
      <c r="E63" s="55">
        <f ca="1">VLOOKUP(Table14[[#This Row],[Random '# for Share ]],$E$16:$F$21,2,TRUE)</f>
        <v>0.7</v>
      </c>
      <c r="F63" s="56">
        <f ca="1">Table14[[#This Row],[Lead Time Demand]]*Table14[[#This Row],[Share % 
(based on 
Random '#)]]</f>
        <v>1303571.5942909992</v>
      </c>
      <c r="G63" s="124">
        <f ca="1">Table14[[#This Row],[Share of Lead Time Demand (Units)]]*Unit_price</f>
        <v>10428572.754327994</v>
      </c>
      <c r="H63" s="125">
        <f ca="1">Table14[[#This Row],[Share of Lead Time Demand (Units)]]*Unit_cost</f>
        <v>5214286.3771639969</v>
      </c>
      <c r="I63" s="125">
        <f ca="1">Table14[[#This Row],[Revenue]]-Table14[[#This Row],[Costs]]</f>
        <v>5214286.3771639969</v>
      </c>
    </row>
    <row r="64" spans="1:9">
      <c r="A64">
        <v>36</v>
      </c>
      <c r="B64">
        <f t="shared" ca="1" si="1"/>
        <v>0.17123102536495427</v>
      </c>
      <c r="C64" s="51">
        <f ca="1">_xlfn.NORM.INV(Table14[[#This Row],[Random '# for LT Demand]],Expected_LT_Demand,$F$8)*1000</f>
        <v>1785863.2342890941</v>
      </c>
      <c r="D64">
        <f t="shared" ca="1" si="2"/>
        <v>0.12375759586678647</v>
      </c>
      <c r="E64" s="55">
        <f ca="1">VLOOKUP(Table14[[#This Row],[Random '# for Share ]],$E$16:$F$21,2,TRUE)</f>
        <v>0.3</v>
      </c>
      <c r="F64" s="56">
        <f ca="1">Table14[[#This Row],[Lead Time Demand]]*Table14[[#This Row],[Share % 
(based on 
Random '#)]]</f>
        <v>535758.97028672823</v>
      </c>
      <c r="G64" s="124">
        <f ca="1">Table14[[#This Row],[Share of Lead Time Demand (Units)]]*Unit_price</f>
        <v>4286071.7622938259</v>
      </c>
      <c r="H64" s="125">
        <f ca="1">Table14[[#This Row],[Share of Lead Time Demand (Units)]]*Unit_cost</f>
        <v>2143035.8811469129</v>
      </c>
      <c r="I64" s="125">
        <f ca="1">Table14[[#This Row],[Revenue]]-Table14[[#This Row],[Costs]]</f>
        <v>2143035.8811469129</v>
      </c>
    </row>
    <row r="65" spans="1:9">
      <c r="A65">
        <v>37</v>
      </c>
      <c r="B65">
        <f t="shared" ca="1" si="1"/>
        <v>0.25197934378797993</v>
      </c>
      <c r="C65" s="51">
        <f ca="1">_xlfn.NORM.INV(Table14[[#This Row],[Random '# for LT Demand]],Expected_LT_Demand,$F$8)*1000</f>
        <v>1820031.6633382891</v>
      </c>
      <c r="D65">
        <f t="shared" ca="1" si="2"/>
        <v>0.4986508625212942</v>
      </c>
      <c r="E65" s="55">
        <f ca="1">VLOOKUP(Table14[[#This Row],[Random '# for Share ]],$E$16:$F$21,2,TRUE)</f>
        <v>0.5</v>
      </c>
      <c r="F65" s="56">
        <f ca="1">Table14[[#This Row],[Lead Time Demand]]*Table14[[#This Row],[Share % 
(based on 
Random '#)]]</f>
        <v>910015.83166914457</v>
      </c>
      <c r="G65" s="124">
        <f ca="1">Table14[[#This Row],[Share of Lead Time Demand (Units)]]*Unit_price</f>
        <v>7280126.6533531565</v>
      </c>
      <c r="H65" s="125">
        <f ca="1">Table14[[#This Row],[Share of Lead Time Demand (Units)]]*Unit_cost</f>
        <v>3640063.3266765783</v>
      </c>
      <c r="I65" s="125">
        <f ca="1">Table14[[#This Row],[Revenue]]-Table14[[#This Row],[Costs]]</f>
        <v>3640063.3266765783</v>
      </c>
    </row>
    <row r="66" spans="1:9">
      <c r="A66">
        <v>38</v>
      </c>
      <c r="B66">
        <f t="shared" ca="1" si="1"/>
        <v>0.31213637025006902</v>
      </c>
      <c r="C66" s="51">
        <f ca="1">_xlfn.NORM.INV(Table14[[#This Row],[Random '# for LT Demand]],Expected_LT_Demand,$F$8)*1000</f>
        <v>1841729.9824253037</v>
      </c>
      <c r="D66">
        <f t="shared" ca="1" si="2"/>
        <v>0.89986969558628971</v>
      </c>
      <c r="E66" s="55">
        <f ca="1">VLOOKUP(Table14[[#This Row],[Random '# for Share ]],$E$16:$F$21,2,TRUE)</f>
        <v>0.7</v>
      </c>
      <c r="F66" s="56">
        <f ca="1">Table14[[#This Row],[Lead Time Demand]]*Table14[[#This Row],[Share % 
(based on 
Random '#)]]</f>
        <v>1289210.9876977124</v>
      </c>
      <c r="G66" s="124">
        <f ca="1">Table14[[#This Row],[Share of Lead Time Demand (Units)]]*Unit_price</f>
        <v>10313687.901581699</v>
      </c>
      <c r="H66" s="125">
        <f ca="1">Table14[[#This Row],[Share of Lead Time Demand (Units)]]*Unit_cost</f>
        <v>5156843.9507908495</v>
      </c>
      <c r="I66" s="125">
        <f ca="1">Table14[[#This Row],[Revenue]]-Table14[[#This Row],[Costs]]</f>
        <v>5156843.9507908495</v>
      </c>
    </row>
    <row r="67" spans="1:9">
      <c r="A67">
        <v>39</v>
      </c>
      <c r="B67">
        <f t="shared" ca="1" si="1"/>
        <v>0.7717137715084601</v>
      </c>
      <c r="C67" s="51">
        <f ca="1">_xlfn.NORM.INV(Table14[[#This Row],[Random '# for LT Demand]],Expected_LT_Demand,$F$8)*1000</f>
        <v>1991796.32565477</v>
      </c>
      <c r="D67">
        <f t="shared" ca="1" si="2"/>
        <v>0.80838796743198316</v>
      </c>
      <c r="E67" s="55">
        <f ca="1">VLOOKUP(Table14[[#This Row],[Random '# for Share ]],$E$16:$F$21,2,TRUE)</f>
        <v>0.7</v>
      </c>
      <c r="F67" s="56">
        <f ca="1">Table14[[#This Row],[Lead Time Demand]]*Table14[[#This Row],[Share % 
(based on 
Random '#)]]</f>
        <v>1394257.427958339</v>
      </c>
      <c r="G67" s="124">
        <f ca="1">Table14[[#This Row],[Share of Lead Time Demand (Units)]]*Unit_price</f>
        <v>11154059.423666712</v>
      </c>
      <c r="H67" s="125">
        <f ca="1">Table14[[#This Row],[Share of Lead Time Demand (Units)]]*Unit_cost</f>
        <v>5577029.7118333559</v>
      </c>
      <c r="I67" s="125">
        <f ca="1">Table14[[#This Row],[Revenue]]-Table14[[#This Row],[Costs]]</f>
        <v>5577029.7118333559</v>
      </c>
    </row>
    <row r="68" spans="1:9">
      <c r="A68">
        <v>40</v>
      </c>
      <c r="B68">
        <f t="shared" ca="1" si="1"/>
        <v>0.4388865046299395</v>
      </c>
      <c r="C68" s="51">
        <f ca="1">_xlfn.NORM.INV(Table14[[#This Row],[Random '# for LT Demand]],Expected_LT_Demand,$F$8)*1000</f>
        <v>1882582.0123827208</v>
      </c>
      <c r="D68">
        <f t="shared" ca="1" si="2"/>
        <v>9.1793421828527677E-3</v>
      </c>
      <c r="E68" s="55">
        <f ca="1">VLOOKUP(Table14[[#This Row],[Random '# for Share ]],$E$16:$F$21,2,TRUE)</f>
        <v>0.2</v>
      </c>
      <c r="F68" s="56">
        <f ca="1">Table14[[#This Row],[Lead Time Demand]]*Table14[[#This Row],[Share % 
(based on 
Random '#)]]</f>
        <v>376516.4024765442</v>
      </c>
      <c r="G68" s="124">
        <f ca="1">Table14[[#This Row],[Share of Lead Time Demand (Units)]]*Unit_price</f>
        <v>3012131.2198123536</v>
      </c>
      <c r="H68" s="125">
        <f ca="1">Table14[[#This Row],[Share of Lead Time Demand (Units)]]*Unit_cost</f>
        <v>1506065.6099061768</v>
      </c>
      <c r="I68" s="125">
        <f ca="1">Table14[[#This Row],[Revenue]]-Table14[[#This Row],[Costs]]</f>
        <v>1506065.6099061768</v>
      </c>
    </row>
    <row r="69" spans="1:9">
      <c r="A69">
        <v>41</v>
      </c>
      <c r="B69">
        <f t="shared" ca="1" si="1"/>
        <v>0.5264521294528417</v>
      </c>
      <c r="C69" s="51">
        <f ca="1">_xlfn.NORM.INV(Table14[[#This Row],[Random '# for LT Demand]],Expected_LT_Demand,$F$8)*1000</f>
        <v>1909347.4017391505</v>
      </c>
      <c r="D69">
        <f t="shared" ca="1" si="2"/>
        <v>0.17718100656596081</v>
      </c>
      <c r="E69" s="55">
        <f ca="1">VLOOKUP(Table14[[#This Row],[Random '# for Share ]],$E$16:$F$21,2,TRUE)</f>
        <v>0.4</v>
      </c>
      <c r="F69" s="56">
        <f ca="1">Table14[[#This Row],[Lead Time Demand]]*Table14[[#This Row],[Share % 
(based on 
Random '#)]]</f>
        <v>763738.96069566021</v>
      </c>
      <c r="G69" s="124">
        <f ca="1">Table14[[#This Row],[Share of Lead Time Demand (Units)]]*Unit_price</f>
        <v>6109911.6855652817</v>
      </c>
      <c r="H69" s="125">
        <f ca="1">Table14[[#This Row],[Share of Lead Time Demand (Units)]]*Unit_cost</f>
        <v>3054955.8427826408</v>
      </c>
      <c r="I69" s="125">
        <f ca="1">Table14[[#This Row],[Revenue]]-Table14[[#This Row],[Costs]]</f>
        <v>3054955.8427826408</v>
      </c>
    </row>
    <row r="70" spans="1:9">
      <c r="A70">
        <v>42</v>
      </c>
      <c r="B70">
        <f t="shared" ca="1" si="1"/>
        <v>0.20147202342943815</v>
      </c>
      <c r="C70" s="51">
        <f ca="1">_xlfn.NORM.INV(Table14[[#This Row],[Random '# for LT Demand]],Expected_LT_Demand,$F$8)*1000</f>
        <v>1799594.0495123584</v>
      </c>
      <c r="D70">
        <f t="shared" ca="1" si="2"/>
        <v>0.16775491818491839</v>
      </c>
      <c r="E70" s="55">
        <f ca="1">VLOOKUP(Table14[[#This Row],[Random '# for Share ]],$E$16:$F$21,2,TRUE)</f>
        <v>0.4</v>
      </c>
      <c r="F70" s="56">
        <f ca="1">Table14[[#This Row],[Lead Time Demand]]*Table14[[#This Row],[Share % 
(based on 
Random '#)]]</f>
        <v>719837.61980494345</v>
      </c>
      <c r="G70" s="124">
        <f ca="1">Table14[[#This Row],[Share of Lead Time Demand (Units)]]*Unit_price</f>
        <v>5758700.9584395476</v>
      </c>
      <c r="H70" s="125">
        <f ca="1">Table14[[#This Row],[Share of Lead Time Demand (Units)]]*Unit_cost</f>
        <v>2879350.4792197738</v>
      </c>
      <c r="I70" s="125">
        <f ca="1">Table14[[#This Row],[Revenue]]-Table14[[#This Row],[Costs]]</f>
        <v>2879350.4792197738</v>
      </c>
    </row>
    <row r="71" spans="1:9">
      <c r="A71">
        <v>43</v>
      </c>
      <c r="B71">
        <f t="shared" ca="1" si="1"/>
        <v>0.10314504065598173</v>
      </c>
      <c r="C71" s="51">
        <f ca="1">_xlfn.NORM.INV(Table14[[#This Row],[Random '# for LT Demand]],Expected_LT_Demand,$F$8)*1000</f>
        <v>1747623.9448058272</v>
      </c>
      <c r="D71">
        <f t="shared" ca="1" si="2"/>
        <v>0.31539386687836035</v>
      </c>
      <c r="E71" s="55">
        <f ca="1">VLOOKUP(Table14[[#This Row],[Random '# for Share ]],$E$16:$F$21,2,TRUE)</f>
        <v>0.5</v>
      </c>
      <c r="F71" s="56">
        <f ca="1">Table14[[#This Row],[Lead Time Demand]]*Table14[[#This Row],[Share % 
(based on 
Random '#)]]</f>
        <v>873811.97240291361</v>
      </c>
      <c r="G71" s="124">
        <f ca="1">Table14[[#This Row],[Share of Lead Time Demand (Units)]]*Unit_price</f>
        <v>6990495.7792233089</v>
      </c>
      <c r="H71" s="125">
        <f ca="1">Table14[[#This Row],[Share of Lead Time Demand (Units)]]*Unit_cost</f>
        <v>3495247.8896116544</v>
      </c>
      <c r="I71" s="125">
        <f ca="1">Table14[[#This Row],[Revenue]]-Table14[[#This Row],[Costs]]</f>
        <v>3495247.8896116544</v>
      </c>
    </row>
    <row r="72" spans="1:9">
      <c r="A72">
        <v>44</v>
      </c>
      <c r="B72">
        <f t="shared" ca="1" si="1"/>
        <v>0.60282772909184379</v>
      </c>
      <c r="C72" s="51">
        <f ca="1">_xlfn.NORM.INV(Table14[[#This Row],[Random '# for LT Demand]],Expected_LT_Demand,$F$8)*1000</f>
        <v>1932972.5912544134</v>
      </c>
      <c r="D72">
        <f t="shared" ca="1" si="2"/>
        <v>0.72322011962021648</v>
      </c>
      <c r="E72" s="55">
        <f ca="1">VLOOKUP(Table14[[#This Row],[Random '# for Share ]],$E$16:$F$21,2,TRUE)</f>
        <v>0.6</v>
      </c>
      <c r="F72" s="56">
        <f ca="1">Table14[[#This Row],[Lead Time Demand]]*Table14[[#This Row],[Share % 
(based on 
Random '#)]]</f>
        <v>1159783.5547526479</v>
      </c>
      <c r="G72" s="124">
        <f ca="1">Table14[[#This Row],[Share of Lead Time Demand (Units)]]*Unit_price</f>
        <v>9278268.438021183</v>
      </c>
      <c r="H72" s="125">
        <f ca="1">Table14[[#This Row],[Share of Lead Time Demand (Units)]]*Unit_cost</f>
        <v>4639134.2190105915</v>
      </c>
      <c r="I72" s="125">
        <f ca="1">Table14[[#This Row],[Revenue]]-Table14[[#This Row],[Costs]]</f>
        <v>4639134.2190105915</v>
      </c>
    </row>
    <row r="73" spans="1:9">
      <c r="A73">
        <v>45</v>
      </c>
      <c r="B73">
        <f t="shared" ca="1" si="1"/>
        <v>0.96892785321141695</v>
      </c>
      <c r="C73" s="51">
        <f ca="1">_xlfn.NORM.INV(Table14[[#This Row],[Random '# for LT Demand]],Expected_LT_Demand,$F$8)*1000</f>
        <v>2128058.0207517971</v>
      </c>
      <c r="D73">
        <f t="shared" ca="1" si="2"/>
        <v>0.34940128412180382</v>
      </c>
      <c r="E73" s="55">
        <f ca="1">VLOOKUP(Table14[[#This Row],[Random '# for Share ]],$E$16:$F$21,2,TRUE)</f>
        <v>0.5</v>
      </c>
      <c r="F73" s="56">
        <f ca="1">Table14[[#This Row],[Lead Time Demand]]*Table14[[#This Row],[Share % 
(based on 
Random '#)]]</f>
        <v>1064029.0103758986</v>
      </c>
      <c r="G73" s="124">
        <f ca="1">Table14[[#This Row],[Share of Lead Time Demand (Units)]]*Unit_price</f>
        <v>8512232.0830071885</v>
      </c>
      <c r="H73" s="125">
        <f ca="1">Table14[[#This Row],[Share of Lead Time Demand (Units)]]*Unit_cost</f>
        <v>4256116.0415035943</v>
      </c>
      <c r="I73" s="125">
        <f ca="1">Table14[[#This Row],[Revenue]]-Table14[[#This Row],[Costs]]</f>
        <v>4256116.0415035943</v>
      </c>
    </row>
    <row r="74" spans="1:9">
      <c r="A74">
        <v>46</v>
      </c>
      <c r="B74">
        <f t="shared" ca="1" si="1"/>
        <v>0.67916754480813024</v>
      </c>
      <c r="C74" s="51">
        <f ca="1">_xlfn.NORM.INV(Table14[[#This Row],[Random '# for LT Demand]],Expected_LT_Demand,$F$8)*1000</f>
        <v>1957859.7968607959</v>
      </c>
      <c r="D74">
        <f t="shared" ca="1" si="2"/>
        <v>0.13120167982351294</v>
      </c>
      <c r="E74" s="55">
        <f ca="1">VLOOKUP(Table14[[#This Row],[Random '# for Share ]],$E$16:$F$21,2,TRUE)</f>
        <v>0.3</v>
      </c>
      <c r="F74" s="56">
        <f ca="1">Table14[[#This Row],[Lead Time Demand]]*Table14[[#This Row],[Share % 
(based on 
Random '#)]]</f>
        <v>587357.93905823876</v>
      </c>
      <c r="G74" s="124">
        <f ca="1">Table14[[#This Row],[Share of Lead Time Demand (Units)]]*Unit_price</f>
        <v>4698863.5124659101</v>
      </c>
      <c r="H74" s="125">
        <f ca="1">Table14[[#This Row],[Share of Lead Time Demand (Units)]]*Unit_cost</f>
        <v>2349431.756232955</v>
      </c>
      <c r="I74" s="125">
        <f ca="1">Table14[[#This Row],[Revenue]]-Table14[[#This Row],[Costs]]</f>
        <v>2349431.756232955</v>
      </c>
    </row>
    <row r="75" spans="1:9">
      <c r="A75">
        <v>47</v>
      </c>
      <c r="B75">
        <f t="shared" ca="1" si="1"/>
        <v>0.45038987792071028</v>
      </c>
      <c r="C75" s="51">
        <f ca="1">_xlfn.NORM.INV(Table14[[#This Row],[Random '# for LT Demand]],Expected_LT_Demand,$F$8)*1000</f>
        <v>1886121.9872733878</v>
      </c>
      <c r="D75">
        <f t="shared" ca="1" si="2"/>
        <v>0.70551144305858215</v>
      </c>
      <c r="E75" s="55">
        <f ca="1">VLOOKUP(Table14[[#This Row],[Random '# for Share ]],$E$16:$F$21,2,TRUE)</f>
        <v>0.6</v>
      </c>
      <c r="F75" s="56">
        <f ca="1">Table14[[#This Row],[Lead Time Demand]]*Table14[[#This Row],[Share % 
(based on 
Random '#)]]</f>
        <v>1131673.1923640326</v>
      </c>
      <c r="G75" s="124">
        <f ca="1">Table14[[#This Row],[Share of Lead Time Demand (Units)]]*Unit_price</f>
        <v>9053385.5389122609</v>
      </c>
      <c r="H75" s="125">
        <f ca="1">Table14[[#This Row],[Share of Lead Time Demand (Units)]]*Unit_cost</f>
        <v>4526692.7694561305</v>
      </c>
      <c r="I75" s="125">
        <f ca="1">Table14[[#This Row],[Revenue]]-Table14[[#This Row],[Costs]]</f>
        <v>4526692.7694561305</v>
      </c>
    </row>
    <row r="76" spans="1:9">
      <c r="A76">
        <v>48</v>
      </c>
      <c r="B76">
        <f t="shared" ca="1" si="1"/>
        <v>0.27131754928453666</v>
      </c>
      <c r="C76" s="51">
        <f ca="1">_xlfn.NORM.INV(Table14[[#This Row],[Random '# for LT Demand]],Expected_LT_Demand,$F$8)*1000</f>
        <v>1827258.4661775271</v>
      </c>
      <c r="D76">
        <f t="shared" ca="1" si="2"/>
        <v>0.93508485382913453</v>
      </c>
      <c r="E76" s="55">
        <f ca="1">VLOOKUP(Table14[[#This Row],[Random '# for Share ]],$E$16:$F$21,2,TRUE)</f>
        <v>0.7</v>
      </c>
      <c r="F76" s="56">
        <f ca="1">Table14[[#This Row],[Lead Time Demand]]*Table14[[#This Row],[Share % 
(based on 
Random '#)]]</f>
        <v>1279080.9263242688</v>
      </c>
      <c r="G76" s="124">
        <f ca="1">Table14[[#This Row],[Share of Lead Time Demand (Units)]]*Unit_price</f>
        <v>10232647.41059415</v>
      </c>
      <c r="H76" s="125">
        <f ca="1">Table14[[#This Row],[Share of Lead Time Demand (Units)]]*Unit_cost</f>
        <v>5116323.7052970752</v>
      </c>
      <c r="I76" s="125">
        <f ca="1">Table14[[#This Row],[Revenue]]-Table14[[#This Row],[Costs]]</f>
        <v>5116323.7052970752</v>
      </c>
    </row>
    <row r="77" spans="1:9">
      <c r="A77">
        <v>49</v>
      </c>
      <c r="B77">
        <f t="shared" ca="1" si="1"/>
        <v>0.96425342890926502</v>
      </c>
      <c r="C77" s="51">
        <f ca="1">_xlfn.NORM.INV(Table14[[#This Row],[Random '# for LT Demand]],Expected_LT_Demand,$F$8)*1000</f>
        <v>2120406.7150387354</v>
      </c>
      <c r="D77">
        <f t="shared" ca="1" si="2"/>
        <v>0.20465869881142329</v>
      </c>
      <c r="E77" s="55">
        <f ca="1">VLOOKUP(Table14[[#This Row],[Random '# for Share ]],$E$16:$F$21,2,TRUE)</f>
        <v>0.4</v>
      </c>
      <c r="F77" s="56">
        <f ca="1">Table14[[#This Row],[Lead Time Demand]]*Table14[[#This Row],[Share % 
(based on 
Random '#)]]</f>
        <v>848162.68601549417</v>
      </c>
      <c r="G77" s="124">
        <f ca="1">Table14[[#This Row],[Share of Lead Time Demand (Units)]]*Unit_price</f>
        <v>6785301.4881239533</v>
      </c>
      <c r="H77" s="125">
        <f ca="1">Table14[[#This Row],[Share of Lead Time Demand (Units)]]*Unit_cost</f>
        <v>3392650.7440619767</v>
      </c>
      <c r="I77" s="125">
        <f ca="1">Table14[[#This Row],[Revenue]]-Table14[[#This Row],[Costs]]</f>
        <v>3392650.7440619767</v>
      </c>
    </row>
    <row r="78" spans="1:9">
      <c r="A78">
        <v>50</v>
      </c>
      <c r="B78">
        <f t="shared" ca="1" si="1"/>
        <v>0.5428461051026382</v>
      </c>
      <c r="C78" s="51">
        <f ca="1">_xlfn.NORM.INV(Table14[[#This Row],[Random '# for LT Demand]],Expected_LT_Demand,$F$8)*1000</f>
        <v>1914362.8290480026</v>
      </c>
      <c r="D78">
        <f t="shared" ca="1" si="2"/>
        <v>0.51983711596435334</v>
      </c>
      <c r="E78" s="55">
        <f ca="1">VLOOKUP(Table14[[#This Row],[Random '# for Share ]],$E$16:$F$21,2,TRUE)</f>
        <v>0.6</v>
      </c>
      <c r="F78" s="56">
        <f ca="1">Table14[[#This Row],[Lead Time Demand]]*Table14[[#This Row],[Share % 
(based on 
Random '#)]]</f>
        <v>1148617.6974288016</v>
      </c>
      <c r="G78" s="124">
        <f ca="1">Table14[[#This Row],[Share of Lead Time Demand (Units)]]*Unit_price</f>
        <v>9188941.5794304125</v>
      </c>
      <c r="H78" s="125">
        <f ca="1">Table14[[#This Row],[Share of Lead Time Demand (Units)]]*Unit_cost</f>
        <v>4594470.7897152063</v>
      </c>
      <c r="I78" s="125">
        <f ca="1">Table14[[#This Row],[Revenue]]-Table14[[#This Row],[Costs]]</f>
        <v>4594470.7897152063</v>
      </c>
    </row>
    <row r="79" spans="1:9">
      <c r="A79">
        <v>51</v>
      </c>
      <c r="B79">
        <f t="shared" ca="1" si="1"/>
        <v>0.89590933907168091</v>
      </c>
      <c r="C79" s="51">
        <f ca="1">_xlfn.NORM.INV(Table14[[#This Row],[Random '# for LT Demand]],Expected_LT_Demand,$F$8)*1000</f>
        <v>2054297.8438506019</v>
      </c>
      <c r="D79">
        <f t="shared" ca="1" si="2"/>
        <v>0.13409600350056738</v>
      </c>
      <c r="E79" s="55">
        <f ca="1">VLOOKUP(Table14[[#This Row],[Random '# for Share ]],$E$16:$F$21,2,TRUE)</f>
        <v>0.3</v>
      </c>
      <c r="F79" s="56">
        <f ca="1">Table14[[#This Row],[Lead Time Demand]]*Table14[[#This Row],[Share % 
(based on 
Random '#)]]</f>
        <v>616289.35315518058</v>
      </c>
      <c r="G79" s="124">
        <f ca="1">Table14[[#This Row],[Share of Lead Time Demand (Units)]]*Unit_price</f>
        <v>4930314.8252414446</v>
      </c>
      <c r="H79" s="125">
        <f ca="1">Table14[[#This Row],[Share of Lead Time Demand (Units)]]*Unit_cost</f>
        <v>2465157.4126207223</v>
      </c>
      <c r="I79" s="125">
        <f ca="1">Table14[[#This Row],[Revenue]]-Table14[[#This Row],[Costs]]</f>
        <v>2465157.4126207223</v>
      </c>
    </row>
    <row r="80" spans="1:9">
      <c r="A80">
        <v>52</v>
      </c>
      <c r="B80">
        <f t="shared" ca="1" si="1"/>
        <v>0.47529789575569448</v>
      </c>
      <c r="C80" s="51">
        <f ca="1">_xlfn.NORM.INV(Table14[[#This Row],[Random '# for LT Demand]],Expected_LT_Demand,$F$8)*1000</f>
        <v>1893747.1816815324</v>
      </c>
      <c r="D80">
        <f t="shared" ca="1" si="2"/>
        <v>0.21500909965799531</v>
      </c>
      <c r="E80" s="55">
        <f ca="1">VLOOKUP(Table14[[#This Row],[Random '# for Share ]],$E$16:$F$21,2,TRUE)</f>
        <v>0.4</v>
      </c>
      <c r="F80" s="56">
        <f ca="1">Table14[[#This Row],[Lead Time Demand]]*Table14[[#This Row],[Share % 
(based on 
Random '#)]]</f>
        <v>757498.87267261301</v>
      </c>
      <c r="G80" s="124">
        <f ca="1">Table14[[#This Row],[Share of Lead Time Demand (Units)]]*Unit_price</f>
        <v>6059990.9813809041</v>
      </c>
      <c r="H80" s="125">
        <f ca="1">Table14[[#This Row],[Share of Lead Time Demand (Units)]]*Unit_cost</f>
        <v>3029995.490690452</v>
      </c>
      <c r="I80" s="125">
        <f ca="1">Table14[[#This Row],[Revenue]]-Table14[[#This Row],[Costs]]</f>
        <v>3029995.490690452</v>
      </c>
    </row>
    <row r="81" spans="1:9">
      <c r="A81">
        <v>53</v>
      </c>
      <c r="B81">
        <f t="shared" ca="1" si="1"/>
        <v>0.12747337418062399</v>
      </c>
      <c r="C81" s="51">
        <f ca="1">_xlfn.NORM.INV(Table14[[#This Row],[Random '# for LT Demand]],Expected_LT_Demand,$F$8)*1000</f>
        <v>1762872.0233936498</v>
      </c>
      <c r="D81">
        <f t="shared" ca="1" si="2"/>
        <v>0.84203407269201802</v>
      </c>
      <c r="E81" s="55">
        <f ca="1">VLOOKUP(Table14[[#This Row],[Random '# for Share ]],$E$16:$F$21,2,TRUE)</f>
        <v>0.7</v>
      </c>
      <c r="F81" s="56">
        <f ca="1">Table14[[#This Row],[Lead Time Demand]]*Table14[[#This Row],[Share % 
(based on 
Random '#)]]</f>
        <v>1234010.4163755549</v>
      </c>
      <c r="G81" s="124">
        <f ca="1">Table14[[#This Row],[Share of Lead Time Demand (Units)]]*Unit_price</f>
        <v>9872083.3310044389</v>
      </c>
      <c r="H81" s="125">
        <f ca="1">Table14[[#This Row],[Share of Lead Time Demand (Units)]]*Unit_cost</f>
        <v>4936041.6655022195</v>
      </c>
      <c r="I81" s="125">
        <f ca="1">Table14[[#This Row],[Revenue]]-Table14[[#This Row],[Costs]]</f>
        <v>4936041.6655022195</v>
      </c>
    </row>
    <row r="82" spans="1:9">
      <c r="A82">
        <v>54</v>
      </c>
      <c r="B82">
        <f t="shared" ca="1" si="1"/>
        <v>0.2243355244740437</v>
      </c>
      <c r="C82" s="51">
        <f ca="1">_xlfn.NORM.INV(Table14[[#This Row],[Random '# for LT Demand]],Expected_LT_Demand,$F$8)*1000</f>
        <v>1809167.5124831165</v>
      </c>
      <c r="D82">
        <f t="shared" ca="1" si="2"/>
        <v>0.85453885389820794</v>
      </c>
      <c r="E82" s="55">
        <f ca="1">VLOOKUP(Table14[[#This Row],[Random '# for Share ]],$E$16:$F$21,2,TRUE)</f>
        <v>0.7</v>
      </c>
      <c r="F82" s="56">
        <f ca="1">Table14[[#This Row],[Lead Time Demand]]*Table14[[#This Row],[Share % 
(based on 
Random '#)]]</f>
        <v>1266417.2587381816</v>
      </c>
      <c r="G82" s="124">
        <f ca="1">Table14[[#This Row],[Share of Lead Time Demand (Units)]]*Unit_price</f>
        <v>10131338.069905452</v>
      </c>
      <c r="H82" s="125">
        <f ca="1">Table14[[#This Row],[Share of Lead Time Demand (Units)]]*Unit_cost</f>
        <v>5065669.0349527262</v>
      </c>
      <c r="I82" s="125">
        <f ca="1">Table14[[#This Row],[Revenue]]-Table14[[#This Row],[Costs]]</f>
        <v>5065669.0349527262</v>
      </c>
    </row>
    <row r="83" spans="1:9">
      <c r="A83">
        <v>55</v>
      </c>
      <c r="B83">
        <f t="shared" ca="1" si="1"/>
        <v>0.90376997571711215</v>
      </c>
      <c r="C83" s="51">
        <f ca="1">_xlfn.NORM.INV(Table14[[#This Row],[Random '# for LT Demand]],Expected_LT_Demand,$F$8)*1000</f>
        <v>2059739.0118399435</v>
      </c>
      <c r="D83">
        <f t="shared" ca="1" si="2"/>
        <v>0.27316899425629981</v>
      </c>
      <c r="E83" s="55">
        <f ca="1">VLOOKUP(Table14[[#This Row],[Random '# for Share ]],$E$16:$F$21,2,TRUE)</f>
        <v>0.4</v>
      </c>
      <c r="F83" s="56">
        <f ca="1">Table14[[#This Row],[Lead Time Demand]]*Table14[[#This Row],[Share % 
(based on 
Random '#)]]</f>
        <v>823895.60473597748</v>
      </c>
      <c r="G83" s="124">
        <f ca="1">Table14[[#This Row],[Share of Lead Time Demand (Units)]]*Unit_price</f>
        <v>6591164.8378878199</v>
      </c>
      <c r="H83" s="125">
        <f ca="1">Table14[[#This Row],[Share of Lead Time Demand (Units)]]*Unit_cost</f>
        <v>3295582.4189439099</v>
      </c>
      <c r="I83" s="125">
        <f ca="1">Table14[[#This Row],[Revenue]]-Table14[[#This Row],[Costs]]</f>
        <v>3295582.4189439099</v>
      </c>
    </row>
    <row r="84" spans="1:9">
      <c r="A84">
        <v>56</v>
      </c>
      <c r="B84">
        <f t="shared" ca="1" si="1"/>
        <v>0.28700589981994984</v>
      </c>
      <c r="C84" s="51">
        <f ca="1">_xlfn.NORM.INV(Table14[[#This Row],[Random '# for LT Demand]],Expected_LT_Demand,$F$8)*1000</f>
        <v>1832933.8072665478</v>
      </c>
      <c r="D84">
        <f t="shared" ca="1" si="2"/>
        <v>0.30371641203189081</v>
      </c>
      <c r="E84" s="55">
        <f ca="1">VLOOKUP(Table14[[#This Row],[Random '# for Share ]],$E$16:$F$21,2,TRUE)</f>
        <v>0.5</v>
      </c>
      <c r="F84" s="56">
        <f ca="1">Table14[[#This Row],[Lead Time Demand]]*Table14[[#This Row],[Share % 
(based on 
Random '#)]]</f>
        <v>916466.90363327391</v>
      </c>
      <c r="G84" s="124">
        <f ca="1">Table14[[#This Row],[Share of Lead Time Demand (Units)]]*Unit_price</f>
        <v>7331735.2290661912</v>
      </c>
      <c r="H84" s="125">
        <f ca="1">Table14[[#This Row],[Share of Lead Time Demand (Units)]]*Unit_cost</f>
        <v>3665867.6145330956</v>
      </c>
      <c r="I84" s="125">
        <f ca="1">Table14[[#This Row],[Revenue]]-Table14[[#This Row],[Costs]]</f>
        <v>3665867.6145330956</v>
      </c>
    </row>
    <row r="85" spans="1:9">
      <c r="A85">
        <v>57</v>
      </c>
      <c r="B85">
        <f t="shared" ca="1" si="1"/>
        <v>0.65015600124141804</v>
      </c>
      <c r="C85" s="51">
        <f ca="1">_xlfn.NORM.INV(Table14[[#This Row],[Random '# for LT Demand]],Expected_LT_Demand,$F$8)*1000</f>
        <v>1948178.3531003376</v>
      </c>
      <c r="D85">
        <f t="shared" ca="1" si="2"/>
        <v>0.57995885895736143</v>
      </c>
      <c r="E85" s="55">
        <f ca="1">VLOOKUP(Table14[[#This Row],[Random '# for Share ]],$E$16:$F$21,2,TRUE)</f>
        <v>0.6</v>
      </c>
      <c r="F85" s="56">
        <f ca="1">Table14[[#This Row],[Lead Time Demand]]*Table14[[#This Row],[Share % 
(based on 
Random '#)]]</f>
        <v>1168907.0118602025</v>
      </c>
      <c r="G85" s="124">
        <f ca="1">Table14[[#This Row],[Share of Lead Time Demand (Units)]]*Unit_price</f>
        <v>9351256.0948816203</v>
      </c>
      <c r="H85" s="125">
        <f ca="1">Table14[[#This Row],[Share of Lead Time Demand (Units)]]*Unit_cost</f>
        <v>4675628.0474408101</v>
      </c>
      <c r="I85" s="125">
        <f ca="1">Table14[[#This Row],[Revenue]]-Table14[[#This Row],[Costs]]</f>
        <v>4675628.0474408101</v>
      </c>
    </row>
    <row r="86" spans="1:9">
      <c r="A86">
        <v>58</v>
      </c>
      <c r="B86">
        <f t="shared" ca="1" si="1"/>
        <v>0.29008234271101474</v>
      </c>
      <c r="C86" s="51">
        <f ca="1">_xlfn.NORM.INV(Table14[[#This Row],[Random '# for LT Demand]],Expected_LT_Demand,$F$8)*1000</f>
        <v>1834029.0914418725</v>
      </c>
      <c r="D86">
        <f t="shared" ca="1" si="2"/>
        <v>8.1115315922580478E-2</v>
      </c>
      <c r="E86" s="55">
        <f ca="1">VLOOKUP(Table14[[#This Row],[Random '# for Share ]],$E$16:$F$21,2,TRUE)</f>
        <v>0.3</v>
      </c>
      <c r="F86" s="56">
        <f ca="1">Table14[[#This Row],[Lead Time Demand]]*Table14[[#This Row],[Share % 
(based on 
Random '#)]]</f>
        <v>550208.72743256169</v>
      </c>
      <c r="G86" s="124">
        <f ca="1">Table14[[#This Row],[Share of Lead Time Demand (Units)]]*Unit_price</f>
        <v>4401669.8194604935</v>
      </c>
      <c r="H86" s="125">
        <f ca="1">Table14[[#This Row],[Share of Lead Time Demand (Units)]]*Unit_cost</f>
        <v>2200834.9097302468</v>
      </c>
      <c r="I86" s="125">
        <f ca="1">Table14[[#This Row],[Revenue]]-Table14[[#This Row],[Costs]]</f>
        <v>2200834.9097302468</v>
      </c>
    </row>
    <row r="87" spans="1:9">
      <c r="A87">
        <v>59</v>
      </c>
      <c r="B87">
        <f t="shared" ca="1" si="1"/>
        <v>9.6395246429703652E-2</v>
      </c>
      <c r="C87" s="51">
        <f ca="1">_xlfn.NORM.INV(Table14[[#This Row],[Random '# for LT Demand]],Expected_LT_Demand,$F$8)*1000</f>
        <v>1742938.7989514396</v>
      </c>
      <c r="D87">
        <f t="shared" ca="1" si="2"/>
        <v>0.26363583489158804</v>
      </c>
      <c r="E87" s="55">
        <f ca="1">VLOOKUP(Table14[[#This Row],[Random '# for Share ]],$E$16:$F$21,2,TRUE)</f>
        <v>0.4</v>
      </c>
      <c r="F87" s="56">
        <f ca="1">Table14[[#This Row],[Lead Time Demand]]*Table14[[#This Row],[Share % 
(based on 
Random '#)]]</f>
        <v>697175.51958057587</v>
      </c>
      <c r="G87" s="124">
        <f ca="1">Table14[[#This Row],[Share of Lead Time Demand (Units)]]*Unit_price</f>
        <v>5577404.156644607</v>
      </c>
      <c r="H87" s="125">
        <f ca="1">Table14[[#This Row],[Share of Lead Time Demand (Units)]]*Unit_cost</f>
        <v>2788702.0783223035</v>
      </c>
      <c r="I87" s="125">
        <f ca="1">Table14[[#This Row],[Revenue]]-Table14[[#This Row],[Costs]]</f>
        <v>2788702.0783223035</v>
      </c>
    </row>
    <row r="88" spans="1:9">
      <c r="A88">
        <v>60</v>
      </c>
      <c r="B88">
        <f t="shared" ca="1" si="1"/>
        <v>0.52113111182421978</v>
      </c>
      <c r="C88" s="51">
        <f ca="1">_xlfn.NORM.INV(Table14[[#This Row],[Random '# for LT Demand]],Expected_LT_Demand,$F$8)*1000</f>
        <v>1907722.8954107878</v>
      </c>
      <c r="D88">
        <f t="shared" ca="1" si="2"/>
        <v>0.4643855226792184</v>
      </c>
      <c r="E88" s="55">
        <f ca="1">VLOOKUP(Table14[[#This Row],[Random '# for Share ]],$E$16:$F$21,2,TRUE)</f>
        <v>0.5</v>
      </c>
      <c r="F88" s="56">
        <f ca="1">Table14[[#This Row],[Lead Time Demand]]*Table14[[#This Row],[Share % 
(based on 
Random '#)]]</f>
        <v>953861.44770539389</v>
      </c>
      <c r="G88" s="124">
        <f ca="1">Table14[[#This Row],[Share of Lead Time Demand (Units)]]*Unit_price</f>
        <v>7630891.5816431511</v>
      </c>
      <c r="H88" s="125">
        <f ca="1">Table14[[#This Row],[Share of Lead Time Demand (Units)]]*Unit_cost</f>
        <v>3815445.7908215756</v>
      </c>
      <c r="I88" s="125">
        <f ca="1">Table14[[#This Row],[Revenue]]-Table14[[#This Row],[Costs]]</f>
        <v>3815445.7908215756</v>
      </c>
    </row>
    <row r="89" spans="1:9">
      <c r="A89">
        <v>61</v>
      </c>
      <c r="B89">
        <f t="shared" ca="1" si="1"/>
        <v>0.37263167036143741</v>
      </c>
      <c r="C89" s="51">
        <f ca="1">_xlfn.NORM.INV(Table14[[#This Row],[Random '# for LT Demand]],Expected_LT_Demand,$F$8)*1000</f>
        <v>1861779.9598354814</v>
      </c>
      <c r="D89">
        <f t="shared" ca="1" si="2"/>
        <v>0.97834338446135016</v>
      </c>
      <c r="E89" s="55">
        <f ca="1">VLOOKUP(Table14[[#This Row],[Random '# for Share ]],$E$16:$F$21,2,TRUE)</f>
        <v>0.7</v>
      </c>
      <c r="F89" s="56">
        <f ca="1">Table14[[#This Row],[Lead Time Demand]]*Table14[[#This Row],[Share % 
(based on 
Random '#)]]</f>
        <v>1303245.9718848369</v>
      </c>
      <c r="G89" s="124">
        <f ca="1">Table14[[#This Row],[Share of Lead Time Demand (Units)]]*Unit_price</f>
        <v>10425967.775078695</v>
      </c>
      <c r="H89" s="125">
        <f ca="1">Table14[[#This Row],[Share of Lead Time Demand (Units)]]*Unit_cost</f>
        <v>5212983.8875393476</v>
      </c>
      <c r="I89" s="125">
        <f ca="1">Table14[[#This Row],[Revenue]]-Table14[[#This Row],[Costs]]</f>
        <v>5212983.8875393476</v>
      </c>
    </row>
    <row r="90" spans="1:9">
      <c r="A90">
        <v>62</v>
      </c>
      <c r="B90">
        <f t="shared" ca="1" si="1"/>
        <v>0.79651359326380755</v>
      </c>
      <c r="C90" s="51">
        <f ca="1">_xlfn.NORM.INV(Table14[[#This Row],[Random '# for LT Demand]],Expected_LT_Demand,$F$8)*1000</f>
        <v>2002097.7507097481</v>
      </c>
      <c r="D90">
        <f t="shared" ca="1" si="2"/>
        <v>0.6594455584015384</v>
      </c>
      <c r="E90" s="55">
        <f ca="1">VLOOKUP(Table14[[#This Row],[Random '# for Share ]],$E$16:$F$21,2,TRUE)</f>
        <v>0.6</v>
      </c>
      <c r="F90" s="56">
        <f ca="1">Table14[[#This Row],[Lead Time Demand]]*Table14[[#This Row],[Share % 
(based on 
Random '#)]]</f>
        <v>1201258.6504258488</v>
      </c>
      <c r="G90" s="124">
        <f ca="1">Table14[[#This Row],[Share of Lead Time Demand (Units)]]*Unit_price</f>
        <v>9610069.2034067903</v>
      </c>
      <c r="H90" s="125">
        <f ca="1">Table14[[#This Row],[Share of Lead Time Demand (Units)]]*Unit_cost</f>
        <v>4805034.6017033951</v>
      </c>
      <c r="I90" s="125">
        <f ca="1">Table14[[#This Row],[Revenue]]-Table14[[#This Row],[Costs]]</f>
        <v>4805034.6017033951</v>
      </c>
    </row>
    <row r="91" spans="1:9">
      <c r="A91">
        <v>63</v>
      </c>
      <c r="B91">
        <f t="shared" ca="1" si="1"/>
        <v>0.26350892980488538</v>
      </c>
      <c r="C91" s="51">
        <f ca="1">_xlfn.NORM.INV(Table14[[#This Row],[Random '# for LT Demand]],Expected_LT_Demand,$F$8)*1000</f>
        <v>1824373.1694987218</v>
      </c>
      <c r="D91">
        <f t="shared" ca="1" si="2"/>
        <v>0.60373487994354513</v>
      </c>
      <c r="E91" s="55">
        <f ca="1">VLOOKUP(Table14[[#This Row],[Random '# for Share ]],$E$16:$F$21,2,TRUE)</f>
        <v>0.6</v>
      </c>
      <c r="F91" s="56">
        <f ca="1">Table14[[#This Row],[Lead Time Demand]]*Table14[[#This Row],[Share % 
(based on 
Random '#)]]</f>
        <v>1094623.9016992331</v>
      </c>
      <c r="G91" s="124">
        <f ca="1">Table14[[#This Row],[Share of Lead Time Demand (Units)]]*Unit_price</f>
        <v>8756991.2135938648</v>
      </c>
      <c r="H91" s="125">
        <f ca="1">Table14[[#This Row],[Share of Lead Time Demand (Units)]]*Unit_cost</f>
        <v>4378495.6067969324</v>
      </c>
      <c r="I91" s="125">
        <f ca="1">Table14[[#This Row],[Revenue]]-Table14[[#This Row],[Costs]]</f>
        <v>4378495.6067969324</v>
      </c>
    </row>
    <row r="92" spans="1:9">
      <c r="A92">
        <v>64</v>
      </c>
      <c r="B92">
        <f t="shared" ca="1" si="1"/>
        <v>0.39495298865796602</v>
      </c>
      <c r="C92" s="51">
        <f ca="1">_xlfn.NORM.INV(Table14[[#This Row],[Random '# for LT Demand]],Expected_LT_Demand,$F$8)*1000</f>
        <v>1868887.3255908496</v>
      </c>
      <c r="D92">
        <f t="shared" ca="1" si="2"/>
        <v>0.34146985917242512</v>
      </c>
      <c r="E92" s="55">
        <f ca="1">VLOOKUP(Table14[[#This Row],[Random '# for Share ]],$E$16:$F$21,2,TRUE)</f>
        <v>0.5</v>
      </c>
      <c r="F92" s="56">
        <f ca="1">Table14[[#This Row],[Lead Time Demand]]*Table14[[#This Row],[Share % 
(based on 
Random '#)]]</f>
        <v>934443.66279542481</v>
      </c>
      <c r="G92" s="124">
        <f ca="1">Table14[[#This Row],[Share of Lead Time Demand (Units)]]*Unit_price</f>
        <v>7475549.3023633985</v>
      </c>
      <c r="H92" s="125">
        <f ca="1">Table14[[#This Row],[Share of Lead Time Demand (Units)]]*Unit_cost</f>
        <v>3737774.6511816992</v>
      </c>
      <c r="I92" s="125">
        <f ca="1">Table14[[#This Row],[Revenue]]-Table14[[#This Row],[Costs]]</f>
        <v>3737774.6511816992</v>
      </c>
    </row>
    <row r="93" spans="1:9">
      <c r="A93">
        <v>65</v>
      </c>
      <c r="B93">
        <f t="shared" ref="B93:B156" ca="1" si="3">RAND()</f>
        <v>0.97793349094114757</v>
      </c>
      <c r="C93" s="51">
        <f ca="1">_xlfn.NORM.INV(Table14[[#This Row],[Random '# for LT Demand]],Expected_LT_Demand,$F$8)*1000</f>
        <v>2145998.340445037</v>
      </c>
      <c r="D93">
        <f t="shared" ref="D93:D156" ca="1" si="4">RAND()</f>
        <v>0.14387668348301808</v>
      </c>
      <c r="E93" s="55">
        <f ca="1">VLOOKUP(Table14[[#This Row],[Random '# for Share ]],$E$16:$F$21,2,TRUE)</f>
        <v>0.3</v>
      </c>
      <c r="F93" s="56">
        <f ca="1">Table14[[#This Row],[Lead Time Demand]]*Table14[[#This Row],[Share % 
(based on 
Random '#)]]</f>
        <v>643799.50213351112</v>
      </c>
      <c r="G93" s="124">
        <f ca="1">Table14[[#This Row],[Share of Lead Time Demand (Units)]]*Unit_price</f>
        <v>5150396.017068089</v>
      </c>
      <c r="H93" s="125">
        <f ca="1">Table14[[#This Row],[Share of Lead Time Demand (Units)]]*Unit_cost</f>
        <v>2575198.0085340445</v>
      </c>
      <c r="I93" s="125">
        <f ca="1">Table14[[#This Row],[Revenue]]-Table14[[#This Row],[Costs]]</f>
        <v>2575198.0085340445</v>
      </c>
    </row>
    <row r="94" spans="1:9">
      <c r="A94">
        <v>66</v>
      </c>
      <c r="B94">
        <f t="shared" ca="1" si="3"/>
        <v>0.15260863850072859</v>
      </c>
      <c r="C94" s="51">
        <f ca="1">_xlfn.NORM.INV(Table14[[#This Row],[Random '# for LT Demand]],Expected_LT_Demand,$F$8)*1000</f>
        <v>1776623.4999130678</v>
      </c>
      <c r="D94">
        <f t="shared" ca="1" si="4"/>
        <v>0.44944169047140059</v>
      </c>
      <c r="E94" s="55">
        <f ca="1">VLOOKUP(Table14[[#This Row],[Random '# for Share ]],$E$16:$F$21,2,TRUE)</f>
        <v>0.5</v>
      </c>
      <c r="F94" s="56">
        <f ca="1">Table14[[#This Row],[Lead Time Demand]]*Table14[[#This Row],[Share % 
(based on 
Random '#)]]</f>
        <v>888311.74995653389</v>
      </c>
      <c r="G94" s="124">
        <f ca="1">Table14[[#This Row],[Share of Lead Time Demand (Units)]]*Unit_price</f>
        <v>7106493.9996522712</v>
      </c>
      <c r="H94" s="125">
        <f ca="1">Table14[[#This Row],[Share of Lead Time Demand (Units)]]*Unit_cost</f>
        <v>3553246.9998261356</v>
      </c>
      <c r="I94" s="125">
        <f ca="1">Table14[[#This Row],[Revenue]]-Table14[[#This Row],[Costs]]</f>
        <v>3553246.9998261356</v>
      </c>
    </row>
    <row r="95" spans="1:9">
      <c r="A95">
        <v>67</v>
      </c>
      <c r="B95">
        <f t="shared" ca="1" si="3"/>
        <v>0.59447243751038992</v>
      </c>
      <c r="C95" s="51">
        <f ca="1">_xlfn.NORM.INV(Table14[[#This Row],[Random '# for LT Demand]],Expected_LT_Demand,$F$8)*1000</f>
        <v>1930345.4871970976</v>
      </c>
      <c r="D95">
        <f t="shared" ca="1" si="4"/>
        <v>0.73226335942714982</v>
      </c>
      <c r="E95" s="55">
        <f ca="1">VLOOKUP(Table14[[#This Row],[Random '# for Share ]],$E$16:$F$21,2,TRUE)</f>
        <v>0.6</v>
      </c>
      <c r="F95" s="56">
        <f ca="1">Table14[[#This Row],[Lead Time Demand]]*Table14[[#This Row],[Share % 
(based on 
Random '#)]]</f>
        <v>1158207.2923182584</v>
      </c>
      <c r="G95" s="124">
        <f ca="1">Table14[[#This Row],[Share of Lead Time Demand (Units)]]*Unit_price</f>
        <v>9265658.3385460675</v>
      </c>
      <c r="H95" s="125">
        <f ca="1">Table14[[#This Row],[Share of Lead Time Demand (Units)]]*Unit_cost</f>
        <v>4632829.1692730337</v>
      </c>
      <c r="I95" s="125">
        <f ca="1">Table14[[#This Row],[Revenue]]-Table14[[#This Row],[Costs]]</f>
        <v>4632829.1692730337</v>
      </c>
    </row>
    <row r="96" spans="1:9">
      <c r="A96">
        <v>68</v>
      </c>
      <c r="B96">
        <f t="shared" ca="1" si="3"/>
        <v>0.84214655748455292</v>
      </c>
      <c r="C96" s="51">
        <f ca="1">_xlfn.NORM.INV(Table14[[#This Row],[Random '# for LT Demand]],Expected_LT_Demand,$F$8)*1000</f>
        <v>2023263.1106184113</v>
      </c>
      <c r="D96">
        <f t="shared" ca="1" si="4"/>
        <v>0.52936888016905548</v>
      </c>
      <c r="E96" s="55">
        <f ca="1">VLOOKUP(Table14[[#This Row],[Random '# for Share ]],$E$16:$F$21,2,TRUE)</f>
        <v>0.6</v>
      </c>
      <c r="F96" s="56">
        <f ca="1">Table14[[#This Row],[Lead Time Demand]]*Table14[[#This Row],[Share % 
(based on 
Random '#)]]</f>
        <v>1213957.8663710468</v>
      </c>
      <c r="G96" s="124">
        <f ca="1">Table14[[#This Row],[Share of Lead Time Demand (Units)]]*Unit_price</f>
        <v>9711662.930968374</v>
      </c>
      <c r="H96" s="125">
        <f ca="1">Table14[[#This Row],[Share of Lead Time Demand (Units)]]*Unit_cost</f>
        <v>4855831.465484187</v>
      </c>
      <c r="I96" s="125">
        <f ca="1">Table14[[#This Row],[Revenue]]-Table14[[#This Row],[Costs]]</f>
        <v>4855831.465484187</v>
      </c>
    </row>
    <row r="97" spans="1:9">
      <c r="A97">
        <v>69</v>
      </c>
      <c r="B97">
        <f t="shared" ca="1" si="3"/>
        <v>0.34454570563386222</v>
      </c>
      <c r="C97" s="51">
        <f ca="1">_xlfn.NORM.INV(Table14[[#This Row],[Random '# for LT Demand]],Expected_LT_Demand,$F$8)*1000</f>
        <v>1852637.5356074604</v>
      </c>
      <c r="D97">
        <f t="shared" ca="1" si="4"/>
        <v>0.95869270407030083</v>
      </c>
      <c r="E97" s="55">
        <f ca="1">VLOOKUP(Table14[[#This Row],[Random '# for Share ]],$E$16:$F$21,2,TRUE)</f>
        <v>0.7</v>
      </c>
      <c r="F97" s="56">
        <f ca="1">Table14[[#This Row],[Lead Time Demand]]*Table14[[#This Row],[Share % 
(based on 
Random '#)]]</f>
        <v>1296846.2749252222</v>
      </c>
      <c r="G97" s="124">
        <f ca="1">Table14[[#This Row],[Share of Lead Time Demand (Units)]]*Unit_price</f>
        <v>10374770.199401777</v>
      </c>
      <c r="H97" s="125">
        <f ca="1">Table14[[#This Row],[Share of Lead Time Demand (Units)]]*Unit_cost</f>
        <v>5187385.0997008886</v>
      </c>
      <c r="I97" s="125">
        <f ca="1">Table14[[#This Row],[Revenue]]-Table14[[#This Row],[Costs]]</f>
        <v>5187385.0997008886</v>
      </c>
    </row>
    <row r="98" spans="1:9">
      <c r="A98">
        <v>70</v>
      </c>
      <c r="B98">
        <f t="shared" ca="1" si="3"/>
        <v>6.6960175187357973E-2</v>
      </c>
      <c r="C98" s="51">
        <f ca="1">_xlfn.NORM.INV(Table14[[#This Row],[Random '# for LT Demand]],Expected_LT_Demand,$F$8)*1000</f>
        <v>1719054.3165446192</v>
      </c>
      <c r="D98">
        <f t="shared" ca="1" si="4"/>
        <v>0.556938599499057</v>
      </c>
      <c r="E98" s="55">
        <f ca="1">VLOOKUP(Table14[[#This Row],[Random '# for Share ]],$E$16:$F$21,2,TRUE)</f>
        <v>0.6</v>
      </c>
      <c r="F98" s="56">
        <f ca="1">Table14[[#This Row],[Lead Time Demand]]*Table14[[#This Row],[Share % 
(based on 
Random '#)]]</f>
        <v>1031432.5899267715</v>
      </c>
      <c r="G98" s="124">
        <f ca="1">Table14[[#This Row],[Share of Lead Time Demand (Units)]]*Unit_price</f>
        <v>8251460.7194141718</v>
      </c>
      <c r="H98" s="125">
        <f ca="1">Table14[[#This Row],[Share of Lead Time Demand (Units)]]*Unit_cost</f>
        <v>4125730.3597070859</v>
      </c>
      <c r="I98" s="125">
        <f ca="1">Table14[[#This Row],[Revenue]]-Table14[[#This Row],[Costs]]</f>
        <v>4125730.3597070859</v>
      </c>
    </row>
    <row r="99" spans="1:9">
      <c r="A99">
        <v>71</v>
      </c>
      <c r="B99">
        <f t="shared" ca="1" si="3"/>
        <v>0.92635672649745382</v>
      </c>
      <c r="C99" s="51">
        <f ca="1">_xlfn.NORM.INV(Table14[[#This Row],[Random '# for LT Demand]],Expected_LT_Demand,$F$8)*1000</f>
        <v>2077470.9782561637</v>
      </c>
      <c r="D99">
        <f t="shared" ca="1" si="4"/>
        <v>0.16744455232733402</v>
      </c>
      <c r="E99" s="55">
        <f ca="1">VLOOKUP(Table14[[#This Row],[Random '# for Share ]],$E$16:$F$21,2,TRUE)</f>
        <v>0.4</v>
      </c>
      <c r="F99" s="56">
        <f ca="1">Table14[[#This Row],[Lead Time Demand]]*Table14[[#This Row],[Share % 
(based on 
Random '#)]]</f>
        <v>830988.39130246546</v>
      </c>
      <c r="G99" s="124">
        <f ca="1">Table14[[#This Row],[Share of Lead Time Demand (Units)]]*Unit_price</f>
        <v>6647907.1304197237</v>
      </c>
      <c r="H99" s="125">
        <f ca="1">Table14[[#This Row],[Share of Lead Time Demand (Units)]]*Unit_cost</f>
        <v>3323953.5652098618</v>
      </c>
      <c r="I99" s="125">
        <f ca="1">Table14[[#This Row],[Revenue]]-Table14[[#This Row],[Costs]]</f>
        <v>3323953.5652098618</v>
      </c>
    </row>
    <row r="100" spans="1:9">
      <c r="A100">
        <v>72</v>
      </c>
      <c r="B100">
        <f t="shared" ca="1" si="3"/>
        <v>0.55118130928144482</v>
      </c>
      <c r="C100" s="51">
        <f ca="1">_xlfn.NORM.INV(Table14[[#This Row],[Random '# for LT Demand]],Expected_LT_Demand,$F$8)*1000</f>
        <v>1916920.85197677</v>
      </c>
      <c r="D100">
        <f t="shared" ca="1" si="4"/>
        <v>0.73993953907409837</v>
      </c>
      <c r="E100" s="55">
        <f ca="1">VLOOKUP(Table14[[#This Row],[Random '# for Share ]],$E$16:$F$21,2,TRUE)</f>
        <v>0.6</v>
      </c>
      <c r="F100" s="56">
        <f ca="1">Table14[[#This Row],[Lead Time Demand]]*Table14[[#This Row],[Share % 
(based on 
Random '#)]]</f>
        <v>1150152.5111860619</v>
      </c>
      <c r="G100" s="124">
        <f ca="1">Table14[[#This Row],[Share of Lead Time Demand (Units)]]*Unit_price</f>
        <v>9201220.0894884951</v>
      </c>
      <c r="H100" s="125">
        <f ca="1">Table14[[#This Row],[Share of Lead Time Demand (Units)]]*Unit_cost</f>
        <v>4600610.0447442476</v>
      </c>
      <c r="I100" s="125">
        <f ca="1">Table14[[#This Row],[Revenue]]-Table14[[#This Row],[Costs]]</f>
        <v>4600610.0447442476</v>
      </c>
    </row>
    <row r="101" spans="1:9">
      <c r="A101">
        <v>73</v>
      </c>
      <c r="B101">
        <f t="shared" ca="1" si="3"/>
        <v>0.5657486589173667</v>
      </c>
      <c r="C101" s="51">
        <f ca="1">_xlfn.NORM.INV(Table14[[#This Row],[Random '# for LT Demand]],Expected_LT_Demand,$F$8)*1000</f>
        <v>1921408.862475819</v>
      </c>
      <c r="D101">
        <f t="shared" ca="1" si="4"/>
        <v>0.56535464639096555</v>
      </c>
      <c r="E101" s="55">
        <f ca="1">VLOOKUP(Table14[[#This Row],[Random '# for Share ]],$E$16:$F$21,2,TRUE)</f>
        <v>0.6</v>
      </c>
      <c r="F101" s="56">
        <f ca="1">Table14[[#This Row],[Lead Time Demand]]*Table14[[#This Row],[Share % 
(based on 
Random '#)]]</f>
        <v>1152845.3174854913</v>
      </c>
      <c r="G101" s="124">
        <f ca="1">Table14[[#This Row],[Share of Lead Time Demand (Units)]]*Unit_price</f>
        <v>9222762.5398839302</v>
      </c>
      <c r="H101" s="125">
        <f ca="1">Table14[[#This Row],[Share of Lead Time Demand (Units)]]*Unit_cost</f>
        <v>4611381.2699419651</v>
      </c>
      <c r="I101" s="125">
        <f ca="1">Table14[[#This Row],[Revenue]]-Table14[[#This Row],[Costs]]</f>
        <v>4611381.2699419651</v>
      </c>
    </row>
    <row r="102" spans="1:9">
      <c r="A102">
        <v>74</v>
      </c>
      <c r="B102">
        <f t="shared" ca="1" si="3"/>
        <v>0.30337199634137002</v>
      </c>
      <c r="C102" s="51">
        <f ca="1">_xlfn.NORM.INV(Table14[[#This Row],[Random '# for LT Demand]],Expected_LT_Demand,$F$8)*1000</f>
        <v>1838699.8656325075</v>
      </c>
      <c r="D102">
        <f t="shared" ca="1" si="4"/>
        <v>0.49870834299506517</v>
      </c>
      <c r="E102" s="55">
        <f ca="1">VLOOKUP(Table14[[#This Row],[Random '# for Share ]],$E$16:$F$21,2,TRUE)</f>
        <v>0.5</v>
      </c>
      <c r="F102" s="56">
        <f ca="1">Table14[[#This Row],[Lead Time Demand]]*Table14[[#This Row],[Share % 
(based on 
Random '#)]]</f>
        <v>919349.93281625374</v>
      </c>
      <c r="G102" s="124">
        <f ca="1">Table14[[#This Row],[Share of Lead Time Demand (Units)]]*Unit_price</f>
        <v>7354799.4625300299</v>
      </c>
      <c r="H102" s="125">
        <f ca="1">Table14[[#This Row],[Share of Lead Time Demand (Units)]]*Unit_cost</f>
        <v>3677399.731265015</v>
      </c>
      <c r="I102" s="125">
        <f ca="1">Table14[[#This Row],[Revenue]]-Table14[[#This Row],[Costs]]</f>
        <v>3677399.731265015</v>
      </c>
    </row>
    <row r="103" spans="1:9">
      <c r="A103">
        <v>75</v>
      </c>
      <c r="B103">
        <f t="shared" ca="1" si="3"/>
        <v>0.56786812982256596</v>
      </c>
      <c r="C103" s="51">
        <f ca="1">_xlfn.NORM.INV(Table14[[#This Row],[Random '# for LT Demand]],Expected_LT_Demand,$F$8)*1000</f>
        <v>1922063.9896188006</v>
      </c>
      <c r="D103">
        <f t="shared" ca="1" si="4"/>
        <v>0.96402218508814497</v>
      </c>
      <c r="E103" s="55">
        <f ca="1">VLOOKUP(Table14[[#This Row],[Random '# for Share ]],$E$16:$F$21,2,TRUE)</f>
        <v>0.7</v>
      </c>
      <c r="F103" s="56">
        <f ca="1">Table14[[#This Row],[Lead Time Demand]]*Table14[[#This Row],[Share % 
(based on 
Random '#)]]</f>
        <v>1345444.7927331603</v>
      </c>
      <c r="G103" s="124">
        <f ca="1">Table14[[#This Row],[Share of Lead Time Demand (Units)]]*Unit_price</f>
        <v>10763558.341865283</v>
      </c>
      <c r="H103" s="125">
        <f ca="1">Table14[[#This Row],[Share of Lead Time Demand (Units)]]*Unit_cost</f>
        <v>5381779.1709326413</v>
      </c>
      <c r="I103" s="125">
        <f ca="1">Table14[[#This Row],[Revenue]]-Table14[[#This Row],[Costs]]</f>
        <v>5381779.1709326413</v>
      </c>
    </row>
    <row r="104" spans="1:9">
      <c r="A104">
        <v>76</v>
      </c>
      <c r="B104">
        <f t="shared" ca="1" si="3"/>
        <v>0.5834765636276229</v>
      </c>
      <c r="C104" s="51">
        <f ca="1">_xlfn.NORM.INV(Table14[[#This Row],[Random '# for LT Demand]],Expected_LT_Demand,$F$8)*1000</f>
        <v>1926908.4835572385</v>
      </c>
      <c r="D104">
        <f t="shared" ca="1" si="4"/>
        <v>0.72410088960969621</v>
      </c>
      <c r="E104" s="55">
        <f ca="1">VLOOKUP(Table14[[#This Row],[Random '# for Share ]],$E$16:$F$21,2,TRUE)</f>
        <v>0.6</v>
      </c>
      <c r="F104" s="56">
        <f ca="1">Table14[[#This Row],[Lead Time Demand]]*Table14[[#This Row],[Share % 
(based on 
Random '#)]]</f>
        <v>1156145.0901343431</v>
      </c>
      <c r="G104" s="124">
        <f ca="1">Table14[[#This Row],[Share of Lead Time Demand (Units)]]*Unit_price</f>
        <v>9249160.7210747451</v>
      </c>
      <c r="H104" s="125">
        <f ca="1">Table14[[#This Row],[Share of Lead Time Demand (Units)]]*Unit_cost</f>
        <v>4624580.3605373725</v>
      </c>
      <c r="I104" s="125">
        <f ca="1">Table14[[#This Row],[Revenue]]-Table14[[#This Row],[Costs]]</f>
        <v>4624580.3605373725</v>
      </c>
    </row>
    <row r="105" spans="1:9">
      <c r="A105">
        <v>77</v>
      </c>
      <c r="B105">
        <f t="shared" ca="1" si="3"/>
        <v>0.74657084764136028</v>
      </c>
      <c r="C105" s="51">
        <f ca="1">_xlfn.NORM.INV(Table14[[#This Row],[Random '# for LT Demand]],Expected_LT_Demand,$F$8)*1000</f>
        <v>1981976.9492416757</v>
      </c>
      <c r="D105">
        <f t="shared" ca="1" si="4"/>
        <v>0.98617575080393749</v>
      </c>
      <c r="E105" s="55">
        <f ca="1">VLOOKUP(Table14[[#This Row],[Random '# for Share ]],$E$16:$F$21,2,TRUE)</f>
        <v>0.7</v>
      </c>
      <c r="F105" s="56">
        <f ca="1">Table14[[#This Row],[Lead Time Demand]]*Table14[[#This Row],[Share % 
(based on 
Random '#)]]</f>
        <v>1387383.8644691729</v>
      </c>
      <c r="G105" s="124">
        <f ca="1">Table14[[#This Row],[Share of Lead Time Demand (Units)]]*Unit_price</f>
        <v>11099070.915753383</v>
      </c>
      <c r="H105" s="125">
        <f ca="1">Table14[[#This Row],[Share of Lead Time Demand (Units)]]*Unit_cost</f>
        <v>5549535.4578766916</v>
      </c>
      <c r="I105" s="125">
        <f ca="1">Table14[[#This Row],[Revenue]]-Table14[[#This Row],[Costs]]</f>
        <v>5549535.4578766916</v>
      </c>
    </row>
    <row r="106" spans="1:9">
      <c r="A106">
        <v>78</v>
      </c>
      <c r="B106">
        <f t="shared" ca="1" si="3"/>
        <v>0.19910294530892059</v>
      </c>
      <c r="C106" s="51">
        <f ca="1">_xlfn.NORM.INV(Table14[[#This Row],[Random '# for LT Demand]],Expected_LT_Demand,$F$8)*1000</f>
        <v>1798566.1068058307</v>
      </c>
      <c r="D106">
        <f t="shared" ca="1" si="4"/>
        <v>0.41387467193509742</v>
      </c>
      <c r="E106" s="55">
        <f ca="1">VLOOKUP(Table14[[#This Row],[Random '# for Share ]],$E$16:$F$21,2,TRUE)</f>
        <v>0.5</v>
      </c>
      <c r="F106" s="56">
        <f ca="1">Table14[[#This Row],[Lead Time Demand]]*Table14[[#This Row],[Share % 
(based on 
Random '#)]]</f>
        <v>899283.05340291536</v>
      </c>
      <c r="G106" s="124">
        <f ca="1">Table14[[#This Row],[Share of Lead Time Demand (Units)]]*Unit_price</f>
        <v>7194264.4272233229</v>
      </c>
      <c r="H106" s="125">
        <f ca="1">Table14[[#This Row],[Share of Lead Time Demand (Units)]]*Unit_cost</f>
        <v>3597132.2136116615</v>
      </c>
      <c r="I106" s="125">
        <f ca="1">Table14[[#This Row],[Revenue]]-Table14[[#This Row],[Costs]]</f>
        <v>3597132.2136116615</v>
      </c>
    </row>
    <row r="107" spans="1:9">
      <c r="A107">
        <v>79</v>
      </c>
      <c r="B107">
        <f t="shared" ca="1" si="3"/>
        <v>0.16352831241555421</v>
      </c>
      <c r="C107" s="51">
        <f ca="1">_xlfn.NORM.INV(Table14[[#This Row],[Random '# for LT Demand]],Expected_LT_Demand,$F$8)*1000</f>
        <v>1782124.9147596227</v>
      </c>
      <c r="D107">
        <f t="shared" ca="1" si="4"/>
        <v>0.96449912730563292</v>
      </c>
      <c r="E107" s="55">
        <f ca="1">VLOOKUP(Table14[[#This Row],[Random '# for Share ]],$E$16:$F$21,2,TRUE)</f>
        <v>0.7</v>
      </c>
      <c r="F107" s="56">
        <f ca="1">Table14[[#This Row],[Lead Time Demand]]*Table14[[#This Row],[Share % 
(based on 
Random '#)]]</f>
        <v>1247487.4403317359</v>
      </c>
      <c r="G107" s="124">
        <f ca="1">Table14[[#This Row],[Share of Lead Time Demand (Units)]]*Unit_price</f>
        <v>9979899.522653887</v>
      </c>
      <c r="H107" s="125">
        <f ca="1">Table14[[#This Row],[Share of Lead Time Demand (Units)]]*Unit_cost</f>
        <v>4989949.7613269435</v>
      </c>
      <c r="I107" s="125">
        <f ca="1">Table14[[#This Row],[Revenue]]-Table14[[#This Row],[Costs]]</f>
        <v>4989949.7613269435</v>
      </c>
    </row>
    <row r="108" spans="1:9">
      <c r="A108">
        <v>80</v>
      </c>
      <c r="B108">
        <f t="shared" ca="1" si="3"/>
        <v>0.15513688283600058</v>
      </c>
      <c r="C108" s="51">
        <f ca="1">_xlfn.NORM.INV(Table14[[#This Row],[Random '# for LT Demand]],Expected_LT_Demand,$F$8)*1000</f>
        <v>1777919.7227842573</v>
      </c>
      <c r="D108">
        <f t="shared" ca="1" si="4"/>
        <v>0.91808652926994538</v>
      </c>
      <c r="E108" s="55">
        <f ca="1">VLOOKUP(Table14[[#This Row],[Random '# for Share ]],$E$16:$F$21,2,TRUE)</f>
        <v>0.7</v>
      </c>
      <c r="F108" s="56">
        <f ca="1">Table14[[#This Row],[Lead Time Demand]]*Table14[[#This Row],[Share % 
(based on 
Random '#)]]</f>
        <v>1244543.8059489799</v>
      </c>
      <c r="G108" s="124">
        <f ca="1">Table14[[#This Row],[Share of Lead Time Demand (Units)]]*Unit_price</f>
        <v>9956350.4475918394</v>
      </c>
      <c r="H108" s="125">
        <f ca="1">Table14[[#This Row],[Share of Lead Time Demand (Units)]]*Unit_cost</f>
        <v>4978175.2237959197</v>
      </c>
      <c r="I108" s="125">
        <f ca="1">Table14[[#This Row],[Revenue]]-Table14[[#This Row],[Costs]]</f>
        <v>4978175.2237959197</v>
      </c>
    </row>
    <row r="109" spans="1:9">
      <c r="A109">
        <v>81</v>
      </c>
      <c r="B109">
        <f t="shared" ca="1" si="3"/>
        <v>0.56865828710002297</v>
      </c>
      <c r="C109" s="51">
        <f ca="1">_xlfn.NORM.INV(Table14[[#This Row],[Random '# for LT Demand]],Expected_LT_Demand,$F$8)*1000</f>
        <v>1922308.3802349903</v>
      </c>
      <c r="D109">
        <f t="shared" ca="1" si="4"/>
        <v>0.70873682506011948</v>
      </c>
      <c r="E109" s="55">
        <f ca="1">VLOOKUP(Table14[[#This Row],[Random '# for Share ]],$E$16:$F$21,2,TRUE)</f>
        <v>0.6</v>
      </c>
      <c r="F109" s="56">
        <f ca="1">Table14[[#This Row],[Lead Time Demand]]*Table14[[#This Row],[Share % 
(based on 
Random '#)]]</f>
        <v>1153385.028140994</v>
      </c>
      <c r="G109" s="124">
        <f ca="1">Table14[[#This Row],[Share of Lead Time Demand (Units)]]*Unit_price</f>
        <v>9227080.2251279522</v>
      </c>
      <c r="H109" s="125">
        <f ca="1">Table14[[#This Row],[Share of Lead Time Demand (Units)]]*Unit_cost</f>
        <v>4613540.1125639761</v>
      </c>
      <c r="I109" s="125">
        <f ca="1">Table14[[#This Row],[Revenue]]-Table14[[#This Row],[Costs]]</f>
        <v>4613540.1125639761</v>
      </c>
    </row>
    <row r="110" spans="1:9">
      <c r="A110">
        <v>82</v>
      </c>
      <c r="B110">
        <f t="shared" ca="1" si="3"/>
        <v>0.68865341170639882</v>
      </c>
      <c r="C110" s="51">
        <f ca="1">_xlfn.NORM.INV(Table14[[#This Row],[Random '# for LT Demand]],Expected_LT_Demand,$F$8)*1000</f>
        <v>1961101.6866282234</v>
      </c>
      <c r="D110">
        <f t="shared" ca="1" si="4"/>
        <v>0.18154337090030892</v>
      </c>
      <c r="E110" s="55">
        <f ca="1">VLOOKUP(Table14[[#This Row],[Random '# for Share ]],$E$16:$F$21,2,TRUE)</f>
        <v>0.4</v>
      </c>
      <c r="F110" s="56">
        <f ca="1">Table14[[#This Row],[Lead Time Demand]]*Table14[[#This Row],[Share % 
(based on 
Random '#)]]</f>
        <v>784440.67465128936</v>
      </c>
      <c r="G110" s="124">
        <f ca="1">Table14[[#This Row],[Share of Lead Time Demand (Units)]]*Unit_price</f>
        <v>6275525.3972103149</v>
      </c>
      <c r="H110" s="125">
        <f ca="1">Table14[[#This Row],[Share of Lead Time Demand (Units)]]*Unit_cost</f>
        <v>3137762.6986051574</v>
      </c>
      <c r="I110" s="125">
        <f ca="1">Table14[[#This Row],[Revenue]]-Table14[[#This Row],[Costs]]</f>
        <v>3137762.6986051574</v>
      </c>
    </row>
    <row r="111" spans="1:9">
      <c r="A111">
        <v>83</v>
      </c>
      <c r="B111">
        <f t="shared" ca="1" si="3"/>
        <v>0.62450914150970693</v>
      </c>
      <c r="C111" s="51">
        <f ca="1">_xlfn.NORM.INV(Table14[[#This Row],[Random '# for LT Demand]],Expected_LT_Demand,$F$8)*1000</f>
        <v>1939862.7397747275</v>
      </c>
      <c r="D111">
        <f t="shared" ca="1" si="4"/>
        <v>0.82862192100541709</v>
      </c>
      <c r="E111" s="55">
        <f ca="1">VLOOKUP(Table14[[#This Row],[Random '# for Share ]],$E$16:$F$21,2,TRUE)</f>
        <v>0.7</v>
      </c>
      <c r="F111" s="56">
        <f ca="1">Table14[[#This Row],[Lead Time Demand]]*Table14[[#This Row],[Share % 
(based on 
Random '#)]]</f>
        <v>1357903.9178423092</v>
      </c>
      <c r="G111" s="124">
        <f ca="1">Table14[[#This Row],[Share of Lead Time Demand (Units)]]*Unit_price</f>
        <v>10863231.342738474</v>
      </c>
      <c r="H111" s="125">
        <f ca="1">Table14[[#This Row],[Share of Lead Time Demand (Units)]]*Unit_cost</f>
        <v>5431615.6713692369</v>
      </c>
      <c r="I111" s="125">
        <f ca="1">Table14[[#This Row],[Revenue]]-Table14[[#This Row],[Costs]]</f>
        <v>5431615.6713692369</v>
      </c>
    </row>
    <row r="112" spans="1:9">
      <c r="A112">
        <v>84</v>
      </c>
      <c r="B112">
        <f t="shared" ca="1" si="3"/>
        <v>0.54926601892410309</v>
      </c>
      <c r="C112" s="51">
        <f ca="1">_xlfn.NORM.INV(Table14[[#This Row],[Random '# for LT Demand]],Expected_LT_Demand,$F$8)*1000</f>
        <v>1916332.4892692296</v>
      </c>
      <c r="D112">
        <f t="shared" ca="1" si="4"/>
        <v>0.44084166389732871</v>
      </c>
      <c r="E112" s="55">
        <f ca="1">VLOOKUP(Table14[[#This Row],[Random '# for Share ]],$E$16:$F$21,2,TRUE)</f>
        <v>0.5</v>
      </c>
      <c r="F112" s="56">
        <f ca="1">Table14[[#This Row],[Lead Time Demand]]*Table14[[#This Row],[Share % 
(based on 
Random '#)]]</f>
        <v>958166.24463461479</v>
      </c>
      <c r="G112" s="124">
        <f ca="1">Table14[[#This Row],[Share of Lead Time Demand (Units)]]*Unit_price</f>
        <v>7665329.9570769183</v>
      </c>
      <c r="H112" s="125">
        <f ca="1">Table14[[#This Row],[Share of Lead Time Demand (Units)]]*Unit_cost</f>
        <v>3832664.9785384592</v>
      </c>
      <c r="I112" s="125">
        <f ca="1">Table14[[#This Row],[Revenue]]-Table14[[#This Row],[Costs]]</f>
        <v>3832664.9785384592</v>
      </c>
    </row>
    <row r="113" spans="1:9">
      <c r="A113">
        <v>85</v>
      </c>
      <c r="B113">
        <f t="shared" ca="1" si="3"/>
        <v>0.90178086447551842</v>
      </c>
      <c r="C113" s="51">
        <f ca="1">_xlfn.NORM.INV(Table14[[#This Row],[Random '# for LT Demand]],Expected_LT_Demand,$F$8)*1000</f>
        <v>2058332.3001486377</v>
      </c>
      <c r="D113">
        <f t="shared" ca="1" si="4"/>
        <v>0.48741770764754477</v>
      </c>
      <c r="E113" s="55">
        <f ca="1">VLOOKUP(Table14[[#This Row],[Random '# for Share ]],$E$16:$F$21,2,TRUE)</f>
        <v>0.5</v>
      </c>
      <c r="F113" s="56">
        <f ca="1">Table14[[#This Row],[Lead Time Demand]]*Table14[[#This Row],[Share % 
(based on 
Random '#)]]</f>
        <v>1029166.1500743189</v>
      </c>
      <c r="G113" s="124">
        <f ca="1">Table14[[#This Row],[Share of Lead Time Demand (Units)]]*Unit_price</f>
        <v>8233329.2005945509</v>
      </c>
      <c r="H113" s="125">
        <f ca="1">Table14[[#This Row],[Share of Lead Time Demand (Units)]]*Unit_cost</f>
        <v>4116664.6002972755</v>
      </c>
      <c r="I113" s="125">
        <f ca="1">Table14[[#This Row],[Revenue]]-Table14[[#This Row],[Costs]]</f>
        <v>4116664.6002972755</v>
      </c>
    </row>
    <row r="114" spans="1:9">
      <c r="A114">
        <v>86</v>
      </c>
      <c r="B114">
        <f t="shared" ca="1" si="3"/>
        <v>0.54759621626744492</v>
      </c>
      <c r="C114" s="51">
        <f ca="1">_xlfn.NORM.INV(Table14[[#This Row],[Random '# for LT Demand]],Expected_LT_Demand,$F$8)*1000</f>
        <v>1915819.8264849521</v>
      </c>
      <c r="D114">
        <f t="shared" ca="1" si="4"/>
        <v>0.82962559679790371</v>
      </c>
      <c r="E114" s="55">
        <f ca="1">VLOOKUP(Table14[[#This Row],[Random '# for Share ]],$E$16:$F$21,2,TRUE)</f>
        <v>0.7</v>
      </c>
      <c r="F114" s="56">
        <f ca="1">Table14[[#This Row],[Lead Time Demand]]*Table14[[#This Row],[Share % 
(based on 
Random '#)]]</f>
        <v>1341073.8785394663</v>
      </c>
      <c r="G114" s="124">
        <f ca="1">Table14[[#This Row],[Share of Lead Time Demand (Units)]]*Unit_price</f>
        <v>10728591.02831573</v>
      </c>
      <c r="H114" s="125">
        <f ca="1">Table14[[#This Row],[Share of Lead Time Demand (Units)]]*Unit_cost</f>
        <v>5364295.5141578652</v>
      </c>
      <c r="I114" s="125">
        <f ca="1">Table14[[#This Row],[Revenue]]-Table14[[#This Row],[Costs]]</f>
        <v>5364295.5141578652</v>
      </c>
    </row>
    <row r="115" spans="1:9">
      <c r="A115">
        <v>87</v>
      </c>
      <c r="B115">
        <f t="shared" ca="1" si="3"/>
        <v>0.93187741726679496</v>
      </c>
      <c r="C115" s="51">
        <f ca="1">_xlfn.NORM.INV(Table14[[#This Row],[Random '# for LT Demand]],Expected_LT_Demand,$F$8)*1000</f>
        <v>2082423.8387425186</v>
      </c>
      <c r="D115">
        <f t="shared" ca="1" si="4"/>
        <v>0.25800587650976203</v>
      </c>
      <c r="E115" s="55">
        <f ca="1">VLOOKUP(Table14[[#This Row],[Random '# for Share ]],$E$16:$F$21,2,TRUE)</f>
        <v>0.4</v>
      </c>
      <c r="F115" s="56">
        <f ca="1">Table14[[#This Row],[Lead Time Demand]]*Table14[[#This Row],[Share % 
(based on 
Random '#)]]</f>
        <v>832969.53549700743</v>
      </c>
      <c r="G115" s="124">
        <f ca="1">Table14[[#This Row],[Share of Lead Time Demand (Units)]]*Unit_price</f>
        <v>6663756.2839760594</v>
      </c>
      <c r="H115" s="125">
        <f ca="1">Table14[[#This Row],[Share of Lead Time Demand (Units)]]*Unit_cost</f>
        <v>3331878.1419880297</v>
      </c>
      <c r="I115" s="125">
        <f ca="1">Table14[[#This Row],[Revenue]]-Table14[[#This Row],[Costs]]</f>
        <v>3331878.1419880297</v>
      </c>
    </row>
    <row r="116" spans="1:9">
      <c r="A116">
        <v>88</v>
      </c>
      <c r="B116">
        <f t="shared" ca="1" si="3"/>
        <v>0.55747210091670296</v>
      </c>
      <c r="C116" s="51">
        <f ca="1">_xlfn.NORM.INV(Table14[[#This Row],[Random '# for LT Demand]],Expected_LT_Demand,$F$8)*1000</f>
        <v>1918855.9911428376</v>
      </c>
      <c r="D116">
        <f t="shared" ca="1" si="4"/>
        <v>6.9235317583241862E-2</v>
      </c>
      <c r="E116" s="55">
        <f ca="1">VLOOKUP(Table14[[#This Row],[Random '# for Share ]],$E$16:$F$21,2,TRUE)</f>
        <v>0.3</v>
      </c>
      <c r="F116" s="56">
        <f ca="1">Table14[[#This Row],[Lead Time Demand]]*Table14[[#This Row],[Share % 
(based on 
Random '#)]]</f>
        <v>575656.79734285129</v>
      </c>
      <c r="G116" s="124">
        <f ca="1">Table14[[#This Row],[Share of Lead Time Demand (Units)]]*Unit_price</f>
        <v>4605254.3787428103</v>
      </c>
      <c r="H116" s="125">
        <f ca="1">Table14[[#This Row],[Share of Lead Time Demand (Units)]]*Unit_cost</f>
        <v>2302627.1893714052</v>
      </c>
      <c r="I116" s="125">
        <f ca="1">Table14[[#This Row],[Revenue]]-Table14[[#This Row],[Costs]]</f>
        <v>2302627.1893714052</v>
      </c>
    </row>
    <row r="117" spans="1:9">
      <c r="A117">
        <v>89</v>
      </c>
      <c r="B117">
        <f t="shared" ca="1" si="3"/>
        <v>0.84254780269672391</v>
      </c>
      <c r="C117" s="51">
        <f ca="1">_xlfn.NORM.INV(Table14[[#This Row],[Random '# for LT Demand]],Expected_LT_Demand,$F$8)*1000</f>
        <v>2023465.5589384127</v>
      </c>
      <c r="D117">
        <f t="shared" ca="1" si="4"/>
        <v>0.31263740089527536</v>
      </c>
      <c r="E117" s="55">
        <f ca="1">VLOOKUP(Table14[[#This Row],[Random '# for Share ]],$E$16:$F$21,2,TRUE)</f>
        <v>0.5</v>
      </c>
      <c r="F117" s="56">
        <f ca="1">Table14[[#This Row],[Lead Time Demand]]*Table14[[#This Row],[Share % 
(based on 
Random '#)]]</f>
        <v>1011732.7794692063</v>
      </c>
      <c r="G117" s="124">
        <f ca="1">Table14[[#This Row],[Share of Lead Time Demand (Units)]]*Unit_price</f>
        <v>8093862.2357536508</v>
      </c>
      <c r="H117" s="125">
        <f ca="1">Table14[[#This Row],[Share of Lead Time Demand (Units)]]*Unit_cost</f>
        <v>4046931.1178768254</v>
      </c>
      <c r="I117" s="125">
        <f ca="1">Table14[[#This Row],[Revenue]]-Table14[[#This Row],[Costs]]</f>
        <v>4046931.1178768254</v>
      </c>
    </row>
    <row r="118" spans="1:9">
      <c r="A118">
        <v>90</v>
      </c>
      <c r="B118">
        <f t="shared" ca="1" si="3"/>
        <v>8.1930724027735158E-2</v>
      </c>
      <c r="C118" s="51">
        <f ca="1">_xlfn.NORM.INV(Table14[[#This Row],[Random '# for LT Demand]],Expected_LT_Demand,$F$8)*1000</f>
        <v>1732016.9557125112</v>
      </c>
      <c r="D118">
        <f t="shared" ca="1" si="4"/>
        <v>0.86241771400230749</v>
      </c>
      <c r="E118" s="55">
        <f ca="1">VLOOKUP(Table14[[#This Row],[Random '# for Share ]],$E$16:$F$21,2,TRUE)</f>
        <v>0.7</v>
      </c>
      <c r="F118" s="56">
        <f ca="1">Table14[[#This Row],[Lead Time Demand]]*Table14[[#This Row],[Share % 
(based on 
Random '#)]]</f>
        <v>1212411.8689987578</v>
      </c>
      <c r="G118" s="124">
        <f ca="1">Table14[[#This Row],[Share of Lead Time Demand (Units)]]*Unit_price</f>
        <v>9699294.9519900624</v>
      </c>
      <c r="H118" s="125">
        <f ca="1">Table14[[#This Row],[Share of Lead Time Demand (Units)]]*Unit_cost</f>
        <v>4849647.4759950312</v>
      </c>
      <c r="I118" s="125">
        <f ca="1">Table14[[#This Row],[Revenue]]-Table14[[#This Row],[Costs]]</f>
        <v>4849647.4759950312</v>
      </c>
    </row>
    <row r="119" spans="1:9">
      <c r="A119">
        <v>91</v>
      </c>
      <c r="B119">
        <f t="shared" ca="1" si="3"/>
        <v>0.376709311501921</v>
      </c>
      <c r="C119" s="51">
        <f ca="1">_xlfn.NORM.INV(Table14[[#This Row],[Random '# for LT Demand]],Expected_LT_Demand,$F$8)*1000</f>
        <v>1863087.7238626704</v>
      </c>
      <c r="D119">
        <f t="shared" ca="1" si="4"/>
        <v>0.36283728748848143</v>
      </c>
      <c r="E119" s="55">
        <f ca="1">VLOOKUP(Table14[[#This Row],[Random '# for Share ]],$E$16:$F$21,2,TRUE)</f>
        <v>0.5</v>
      </c>
      <c r="F119" s="56">
        <f ca="1">Table14[[#This Row],[Lead Time Demand]]*Table14[[#This Row],[Share % 
(based on 
Random '#)]]</f>
        <v>931543.86193133518</v>
      </c>
      <c r="G119" s="124">
        <f ca="1">Table14[[#This Row],[Share of Lead Time Demand (Units)]]*Unit_price</f>
        <v>7452350.8954506814</v>
      </c>
      <c r="H119" s="125">
        <f ca="1">Table14[[#This Row],[Share of Lead Time Demand (Units)]]*Unit_cost</f>
        <v>3726175.4477253407</v>
      </c>
      <c r="I119" s="125">
        <f ca="1">Table14[[#This Row],[Revenue]]-Table14[[#This Row],[Costs]]</f>
        <v>3726175.4477253407</v>
      </c>
    </row>
    <row r="120" spans="1:9">
      <c r="A120">
        <v>92</v>
      </c>
      <c r="B120">
        <f t="shared" ca="1" si="3"/>
        <v>0.3751593022976818</v>
      </c>
      <c r="C120" s="51">
        <f ca="1">_xlfn.NORM.INV(Table14[[#This Row],[Random '# for LT Demand]],Expected_LT_Demand,$F$8)*1000</f>
        <v>1862591.1400523758</v>
      </c>
      <c r="D120">
        <f t="shared" ca="1" si="4"/>
        <v>5.6279726050495027E-2</v>
      </c>
      <c r="E120" s="55">
        <f ca="1">VLOOKUP(Table14[[#This Row],[Random '# for Share ]],$E$16:$F$21,2,TRUE)</f>
        <v>0.3</v>
      </c>
      <c r="F120" s="56">
        <f ca="1">Table14[[#This Row],[Lead Time Demand]]*Table14[[#This Row],[Share % 
(based on 
Random '#)]]</f>
        <v>558777.34201571275</v>
      </c>
      <c r="G120" s="124">
        <f ca="1">Table14[[#This Row],[Share of Lead Time Demand (Units)]]*Unit_price</f>
        <v>4470218.736125702</v>
      </c>
      <c r="H120" s="125">
        <f ca="1">Table14[[#This Row],[Share of Lead Time Demand (Units)]]*Unit_cost</f>
        <v>2235109.368062851</v>
      </c>
      <c r="I120" s="125">
        <f ca="1">Table14[[#This Row],[Revenue]]-Table14[[#This Row],[Costs]]</f>
        <v>2235109.368062851</v>
      </c>
    </row>
    <row r="121" spans="1:9">
      <c r="A121">
        <v>93</v>
      </c>
      <c r="B121">
        <f t="shared" ca="1" si="3"/>
        <v>0.7273699020824872</v>
      </c>
      <c r="C121" s="51">
        <f ca="1">_xlfn.NORM.INV(Table14[[#This Row],[Random '# for LT Demand]],Expected_LT_Demand,$F$8)*1000</f>
        <v>1974820.8113278002</v>
      </c>
      <c r="D121">
        <f t="shared" ca="1" si="4"/>
        <v>0.9863183243997371</v>
      </c>
      <c r="E121" s="55">
        <f ca="1">VLOOKUP(Table14[[#This Row],[Random '# for Share ]],$E$16:$F$21,2,TRUE)</f>
        <v>0.7</v>
      </c>
      <c r="F121" s="56">
        <f ca="1">Table14[[#This Row],[Lead Time Demand]]*Table14[[#This Row],[Share % 
(based on 
Random '#)]]</f>
        <v>1382374.56792946</v>
      </c>
      <c r="G121" s="124">
        <f ca="1">Table14[[#This Row],[Share of Lead Time Demand (Units)]]*Unit_price</f>
        <v>11058996.54343568</v>
      </c>
      <c r="H121" s="125">
        <f ca="1">Table14[[#This Row],[Share of Lead Time Demand (Units)]]*Unit_cost</f>
        <v>5529498.2717178399</v>
      </c>
      <c r="I121" s="125">
        <f ca="1">Table14[[#This Row],[Revenue]]-Table14[[#This Row],[Costs]]</f>
        <v>5529498.2717178399</v>
      </c>
    </row>
    <row r="122" spans="1:9">
      <c r="A122">
        <v>94</v>
      </c>
      <c r="B122">
        <f t="shared" ca="1" si="3"/>
        <v>0.9224343298608757</v>
      </c>
      <c r="C122" s="51">
        <f ca="1">_xlfn.NORM.INV(Table14[[#This Row],[Random '# for LT Demand]],Expected_LT_Demand,$F$8)*1000</f>
        <v>2074122.1101219445</v>
      </c>
      <c r="D122">
        <f t="shared" ca="1" si="4"/>
        <v>0.3131312230679747</v>
      </c>
      <c r="E122" s="55">
        <f ca="1">VLOOKUP(Table14[[#This Row],[Random '# for Share ]],$E$16:$F$21,2,TRUE)</f>
        <v>0.5</v>
      </c>
      <c r="F122" s="56">
        <f ca="1">Table14[[#This Row],[Lead Time Demand]]*Table14[[#This Row],[Share % 
(based on 
Random '#)]]</f>
        <v>1037061.0550609722</v>
      </c>
      <c r="G122" s="124">
        <f ca="1">Table14[[#This Row],[Share of Lead Time Demand (Units)]]*Unit_price</f>
        <v>8296488.4404877778</v>
      </c>
      <c r="H122" s="125">
        <f ca="1">Table14[[#This Row],[Share of Lead Time Demand (Units)]]*Unit_cost</f>
        <v>4148244.2202438889</v>
      </c>
      <c r="I122" s="125">
        <f ca="1">Table14[[#This Row],[Revenue]]-Table14[[#This Row],[Costs]]</f>
        <v>4148244.2202438889</v>
      </c>
    </row>
    <row r="123" spans="1:9">
      <c r="A123">
        <v>95</v>
      </c>
      <c r="B123">
        <f t="shared" ca="1" si="3"/>
        <v>0.96767728265652408</v>
      </c>
      <c r="C123" s="51">
        <f ca="1">_xlfn.NORM.INV(Table14[[#This Row],[Random '# for LT Demand]],Expected_LT_Demand,$F$8)*1000</f>
        <v>2125922.7669932335</v>
      </c>
      <c r="D123">
        <f t="shared" ca="1" si="4"/>
        <v>0.47990934851192169</v>
      </c>
      <c r="E123" s="55">
        <f ca="1">VLOOKUP(Table14[[#This Row],[Random '# for Share ]],$E$16:$F$21,2,TRUE)</f>
        <v>0.5</v>
      </c>
      <c r="F123" s="56">
        <f ca="1">Table14[[#This Row],[Lead Time Demand]]*Table14[[#This Row],[Share % 
(based on 
Random '#)]]</f>
        <v>1062961.3834966167</v>
      </c>
      <c r="G123" s="124">
        <f ca="1">Table14[[#This Row],[Share of Lead Time Demand (Units)]]*Unit_price</f>
        <v>8503691.0679729339</v>
      </c>
      <c r="H123" s="125">
        <f ca="1">Table14[[#This Row],[Share of Lead Time Demand (Units)]]*Unit_cost</f>
        <v>4251845.5339864669</v>
      </c>
      <c r="I123" s="125">
        <f ca="1">Table14[[#This Row],[Revenue]]-Table14[[#This Row],[Costs]]</f>
        <v>4251845.5339864669</v>
      </c>
    </row>
    <row r="124" spans="1:9">
      <c r="A124">
        <v>96</v>
      </c>
      <c r="B124">
        <f t="shared" ca="1" si="3"/>
        <v>0.94920893193046141</v>
      </c>
      <c r="C124" s="51">
        <f ca="1">_xlfn.NORM.INV(Table14[[#This Row],[Random '# for LT Demand]],Expected_LT_Demand,$F$8)*1000</f>
        <v>2100333.8295987463</v>
      </c>
      <c r="D124">
        <f t="shared" ca="1" si="4"/>
        <v>8.1803254573952211E-3</v>
      </c>
      <c r="E124" s="55">
        <f ca="1">VLOOKUP(Table14[[#This Row],[Random '# for Share ]],$E$16:$F$21,2,TRUE)</f>
        <v>0.2</v>
      </c>
      <c r="F124" s="56">
        <f ca="1">Table14[[#This Row],[Lead Time Demand]]*Table14[[#This Row],[Share % 
(based on 
Random '#)]]</f>
        <v>420066.76591974928</v>
      </c>
      <c r="G124" s="124">
        <f ca="1">Table14[[#This Row],[Share of Lead Time Demand (Units)]]*Unit_price</f>
        <v>3360534.1273579942</v>
      </c>
      <c r="H124" s="125">
        <f ca="1">Table14[[#This Row],[Share of Lead Time Demand (Units)]]*Unit_cost</f>
        <v>1680267.0636789971</v>
      </c>
      <c r="I124" s="125">
        <f ca="1">Table14[[#This Row],[Revenue]]-Table14[[#This Row],[Costs]]</f>
        <v>1680267.0636789971</v>
      </c>
    </row>
    <row r="125" spans="1:9">
      <c r="A125">
        <v>97</v>
      </c>
      <c r="B125">
        <f t="shared" ca="1" si="3"/>
        <v>0.16654556039110413</v>
      </c>
      <c r="C125" s="51">
        <f ca="1">_xlfn.NORM.INV(Table14[[#This Row],[Random '# for LT Demand]],Expected_LT_Demand,$F$8)*1000</f>
        <v>1783602.5138106213</v>
      </c>
      <c r="D125">
        <f t="shared" ca="1" si="4"/>
        <v>0.53809454763878906</v>
      </c>
      <c r="E125" s="55">
        <f ca="1">VLOOKUP(Table14[[#This Row],[Random '# for Share ]],$E$16:$F$21,2,TRUE)</f>
        <v>0.6</v>
      </c>
      <c r="F125" s="56">
        <f ca="1">Table14[[#This Row],[Lead Time Demand]]*Table14[[#This Row],[Share % 
(based on 
Random '#)]]</f>
        <v>1070161.5082863728</v>
      </c>
      <c r="G125" s="124">
        <f ca="1">Table14[[#This Row],[Share of Lead Time Demand (Units)]]*Unit_price</f>
        <v>8561292.0662909821</v>
      </c>
      <c r="H125" s="125">
        <f ca="1">Table14[[#This Row],[Share of Lead Time Demand (Units)]]*Unit_cost</f>
        <v>4280646.033145491</v>
      </c>
      <c r="I125" s="125">
        <f ca="1">Table14[[#This Row],[Revenue]]-Table14[[#This Row],[Costs]]</f>
        <v>4280646.033145491</v>
      </c>
    </row>
    <row r="126" spans="1:9">
      <c r="A126">
        <v>98</v>
      </c>
      <c r="B126">
        <f t="shared" ca="1" si="3"/>
        <v>0.95859303231960502</v>
      </c>
      <c r="C126" s="51">
        <f ca="1">_xlfn.NORM.INV(Table14[[#This Row],[Random '# for LT Demand]],Expected_LT_Demand,$F$8)*1000</f>
        <v>2112170.3113016924</v>
      </c>
      <c r="D126">
        <f t="shared" ca="1" si="4"/>
        <v>0.63580746805710275</v>
      </c>
      <c r="E126" s="55">
        <f ca="1">VLOOKUP(Table14[[#This Row],[Random '# for Share ]],$E$16:$F$21,2,TRUE)</f>
        <v>0.6</v>
      </c>
      <c r="F126" s="56">
        <f ca="1">Table14[[#This Row],[Lead Time Demand]]*Table14[[#This Row],[Share % 
(based on 
Random '#)]]</f>
        <v>1267302.1867810155</v>
      </c>
      <c r="G126" s="124">
        <f ca="1">Table14[[#This Row],[Share of Lead Time Demand (Units)]]*Unit_price</f>
        <v>10138417.494248124</v>
      </c>
      <c r="H126" s="125">
        <f ca="1">Table14[[#This Row],[Share of Lead Time Demand (Units)]]*Unit_cost</f>
        <v>5069208.7471240619</v>
      </c>
      <c r="I126" s="125">
        <f ca="1">Table14[[#This Row],[Revenue]]-Table14[[#This Row],[Costs]]</f>
        <v>5069208.7471240619</v>
      </c>
    </row>
    <row r="127" spans="1:9">
      <c r="A127">
        <v>99</v>
      </c>
      <c r="B127">
        <f t="shared" ca="1" si="3"/>
        <v>0.22742643223003178</v>
      </c>
      <c r="C127" s="51">
        <f ca="1">_xlfn.NORM.INV(Table14[[#This Row],[Random '# for LT Demand]],Expected_LT_Demand,$F$8)*1000</f>
        <v>1810417.757369091</v>
      </c>
      <c r="D127">
        <f t="shared" ca="1" si="4"/>
        <v>0.77803909370148416</v>
      </c>
      <c r="E127" s="55">
        <f ca="1">VLOOKUP(Table14[[#This Row],[Random '# for Share ]],$E$16:$F$21,2,TRUE)</f>
        <v>0.7</v>
      </c>
      <c r="F127" s="56">
        <f ca="1">Table14[[#This Row],[Lead Time Demand]]*Table14[[#This Row],[Share % 
(based on 
Random '#)]]</f>
        <v>1267292.4301583637</v>
      </c>
      <c r="G127" s="124">
        <f ca="1">Table14[[#This Row],[Share of Lead Time Demand (Units)]]*Unit_price</f>
        <v>10138339.441266909</v>
      </c>
      <c r="H127" s="125">
        <f ca="1">Table14[[#This Row],[Share of Lead Time Demand (Units)]]*Unit_cost</f>
        <v>5069169.7206334546</v>
      </c>
      <c r="I127" s="125">
        <f ca="1">Table14[[#This Row],[Revenue]]-Table14[[#This Row],[Costs]]</f>
        <v>5069169.7206334546</v>
      </c>
    </row>
    <row r="128" spans="1:9">
      <c r="A128">
        <v>100</v>
      </c>
      <c r="B128">
        <f t="shared" ca="1" si="3"/>
        <v>0.54117471867188338</v>
      </c>
      <c r="C128" s="51">
        <f ca="1">_xlfn.NORM.INV(Table14[[#This Row],[Random '# for LT Demand]],Expected_LT_Demand,$F$8)*1000</f>
        <v>1913850.6234235151</v>
      </c>
      <c r="D128">
        <f t="shared" ca="1" si="4"/>
        <v>8.3071345017401654E-2</v>
      </c>
      <c r="E128" s="55">
        <f ca="1">VLOOKUP(Table14[[#This Row],[Random '# for Share ]],$E$16:$F$21,2,TRUE)</f>
        <v>0.3</v>
      </c>
      <c r="F128" s="56">
        <f ca="1">Table14[[#This Row],[Lead Time Demand]]*Table14[[#This Row],[Share % 
(based on 
Random '#)]]</f>
        <v>574155.18702705449</v>
      </c>
      <c r="G128" s="124">
        <f ca="1">Table14[[#This Row],[Share of Lead Time Demand (Units)]]*Unit_price</f>
        <v>4593241.4962164359</v>
      </c>
      <c r="H128" s="125">
        <f ca="1">Table14[[#This Row],[Share of Lead Time Demand (Units)]]*Unit_cost</f>
        <v>2296620.748108218</v>
      </c>
      <c r="I128" s="125">
        <f ca="1">Table14[[#This Row],[Revenue]]-Table14[[#This Row],[Costs]]</f>
        <v>2296620.748108218</v>
      </c>
    </row>
    <row r="129" spans="1:9">
      <c r="A129">
        <v>101</v>
      </c>
      <c r="B129">
        <f t="shared" ca="1" si="3"/>
        <v>0.39593682028940791</v>
      </c>
      <c r="C129" s="51">
        <f ca="1">_xlfn.NORM.INV(Table14[[#This Row],[Random '# for LT Demand]],Expected_LT_Demand,$F$8)*1000</f>
        <v>1869197.8803638017</v>
      </c>
      <c r="D129">
        <f t="shared" ca="1" si="4"/>
        <v>0.4777695949710592</v>
      </c>
      <c r="E129" s="55">
        <f ca="1">VLOOKUP(Table14[[#This Row],[Random '# for Share ]],$E$16:$F$21,2,TRUE)</f>
        <v>0.5</v>
      </c>
      <c r="F129" s="56">
        <f ca="1">Table14[[#This Row],[Lead Time Demand]]*Table14[[#This Row],[Share % 
(based on 
Random '#)]]</f>
        <v>934598.94018190086</v>
      </c>
      <c r="G129" s="124">
        <f ca="1">Table14[[#This Row],[Share of Lead Time Demand (Units)]]*Unit_price</f>
        <v>7476791.5214552069</v>
      </c>
      <c r="H129" s="125">
        <f ca="1">Table14[[#This Row],[Share of Lead Time Demand (Units)]]*Unit_cost</f>
        <v>3738395.7607276035</v>
      </c>
      <c r="I129" s="125">
        <f ca="1">Table14[[#This Row],[Revenue]]-Table14[[#This Row],[Costs]]</f>
        <v>3738395.7607276035</v>
      </c>
    </row>
    <row r="130" spans="1:9">
      <c r="A130">
        <v>102</v>
      </c>
      <c r="B130">
        <f t="shared" ca="1" si="3"/>
        <v>0.3375306428717707</v>
      </c>
      <c r="C130" s="51">
        <f ca="1">_xlfn.NORM.INV(Table14[[#This Row],[Random '# for LT Demand]],Expected_LT_Demand,$F$8)*1000</f>
        <v>1850312.5113115769</v>
      </c>
      <c r="D130">
        <f t="shared" ca="1" si="4"/>
        <v>0.76601887730974783</v>
      </c>
      <c r="E130" s="55">
        <f ca="1">VLOOKUP(Table14[[#This Row],[Random '# for Share ]],$E$16:$F$21,2,TRUE)</f>
        <v>0.7</v>
      </c>
      <c r="F130" s="56">
        <f ca="1">Table14[[#This Row],[Lead Time Demand]]*Table14[[#This Row],[Share % 
(based on 
Random '#)]]</f>
        <v>1295218.7579181038</v>
      </c>
      <c r="G130" s="124">
        <f ca="1">Table14[[#This Row],[Share of Lead Time Demand (Units)]]*Unit_price</f>
        <v>10361750.063344831</v>
      </c>
      <c r="H130" s="125">
        <f ca="1">Table14[[#This Row],[Share of Lead Time Demand (Units)]]*Unit_cost</f>
        <v>5180875.0316724153</v>
      </c>
      <c r="I130" s="125">
        <f ca="1">Table14[[#This Row],[Revenue]]-Table14[[#This Row],[Costs]]</f>
        <v>5180875.0316724153</v>
      </c>
    </row>
    <row r="131" spans="1:9">
      <c r="A131">
        <v>103</v>
      </c>
      <c r="B131">
        <f t="shared" ca="1" si="3"/>
        <v>0.82936953084338572</v>
      </c>
      <c r="C131" s="51">
        <f ca="1">_xlfn.NORM.INV(Table14[[#This Row],[Random '# for LT Demand]],Expected_LT_Demand,$F$8)*1000</f>
        <v>2016984.4518469714</v>
      </c>
      <c r="D131">
        <f t="shared" ca="1" si="4"/>
        <v>0.12053367749298649</v>
      </c>
      <c r="E131" s="55">
        <f ca="1">VLOOKUP(Table14[[#This Row],[Random '# for Share ]],$E$16:$F$21,2,TRUE)</f>
        <v>0.3</v>
      </c>
      <c r="F131" s="56">
        <f ca="1">Table14[[#This Row],[Lead Time Demand]]*Table14[[#This Row],[Share % 
(based on 
Random '#)]]</f>
        <v>605095.33555409138</v>
      </c>
      <c r="G131" s="124">
        <f ca="1">Table14[[#This Row],[Share of Lead Time Demand (Units)]]*Unit_price</f>
        <v>4840762.684432731</v>
      </c>
      <c r="H131" s="125">
        <f ca="1">Table14[[#This Row],[Share of Lead Time Demand (Units)]]*Unit_cost</f>
        <v>2420381.3422163655</v>
      </c>
      <c r="I131" s="125">
        <f ca="1">Table14[[#This Row],[Revenue]]-Table14[[#This Row],[Costs]]</f>
        <v>2420381.3422163655</v>
      </c>
    </row>
    <row r="132" spans="1:9">
      <c r="A132">
        <v>104</v>
      </c>
      <c r="B132">
        <f t="shared" ca="1" si="3"/>
        <v>0.22792921296499524</v>
      </c>
      <c r="C132" s="51">
        <f ca="1">_xlfn.NORM.INV(Table14[[#This Row],[Random '# for LT Demand]],Expected_LT_Demand,$F$8)*1000</f>
        <v>1810620.2187500468</v>
      </c>
      <c r="D132">
        <f t="shared" ca="1" si="4"/>
        <v>0.61251627746122062</v>
      </c>
      <c r="E132" s="55">
        <f ca="1">VLOOKUP(Table14[[#This Row],[Random '# for Share ]],$E$16:$F$21,2,TRUE)</f>
        <v>0.6</v>
      </c>
      <c r="F132" s="56">
        <f ca="1">Table14[[#This Row],[Lead Time Demand]]*Table14[[#This Row],[Share % 
(based on 
Random '#)]]</f>
        <v>1086372.131250028</v>
      </c>
      <c r="G132" s="124">
        <f ca="1">Table14[[#This Row],[Share of Lead Time Demand (Units)]]*Unit_price</f>
        <v>8690977.0500002243</v>
      </c>
      <c r="H132" s="125">
        <f ca="1">Table14[[#This Row],[Share of Lead Time Demand (Units)]]*Unit_cost</f>
        <v>4345488.5250001121</v>
      </c>
      <c r="I132" s="125">
        <f ca="1">Table14[[#This Row],[Revenue]]-Table14[[#This Row],[Costs]]</f>
        <v>4345488.5250001121</v>
      </c>
    </row>
    <row r="133" spans="1:9">
      <c r="A133">
        <v>105</v>
      </c>
      <c r="B133">
        <f t="shared" ca="1" si="3"/>
        <v>0.23247212043813037</v>
      </c>
      <c r="C133" s="51">
        <f ca="1">_xlfn.NORM.INV(Table14[[#This Row],[Random '# for LT Demand]],Expected_LT_Demand,$F$8)*1000</f>
        <v>1812438.328973087</v>
      </c>
      <c r="D133">
        <f t="shared" ca="1" si="4"/>
        <v>0.11988216214606551</v>
      </c>
      <c r="E133" s="55">
        <f ca="1">VLOOKUP(Table14[[#This Row],[Random '# for Share ]],$E$16:$F$21,2,TRUE)</f>
        <v>0.3</v>
      </c>
      <c r="F133" s="56">
        <f ca="1">Table14[[#This Row],[Lead Time Demand]]*Table14[[#This Row],[Share % 
(based on 
Random '#)]]</f>
        <v>543731.49869192613</v>
      </c>
      <c r="G133" s="124">
        <f ca="1">Table14[[#This Row],[Share of Lead Time Demand (Units)]]*Unit_price</f>
        <v>4349851.989535409</v>
      </c>
      <c r="H133" s="125">
        <f ca="1">Table14[[#This Row],[Share of Lead Time Demand (Units)]]*Unit_cost</f>
        <v>2174925.9947677045</v>
      </c>
      <c r="I133" s="125">
        <f ca="1">Table14[[#This Row],[Revenue]]-Table14[[#This Row],[Costs]]</f>
        <v>2174925.9947677045</v>
      </c>
    </row>
    <row r="134" spans="1:9">
      <c r="A134">
        <v>106</v>
      </c>
      <c r="B134">
        <f t="shared" ca="1" si="3"/>
        <v>0.11007935346098896</v>
      </c>
      <c r="C134" s="51">
        <f ca="1">_xlfn.NORM.INV(Table14[[#This Row],[Random '# for LT Demand]],Expected_LT_Demand,$F$8)*1000</f>
        <v>1752210.7115085688</v>
      </c>
      <c r="D134">
        <f t="shared" ca="1" si="4"/>
        <v>0.49474971640666854</v>
      </c>
      <c r="E134" s="55">
        <f ca="1">VLOOKUP(Table14[[#This Row],[Random '# for Share ]],$E$16:$F$21,2,TRUE)</f>
        <v>0.5</v>
      </c>
      <c r="F134" s="56">
        <f ca="1">Table14[[#This Row],[Lead Time Demand]]*Table14[[#This Row],[Share % 
(based on 
Random '#)]]</f>
        <v>876105.35575428442</v>
      </c>
      <c r="G134" s="124">
        <f ca="1">Table14[[#This Row],[Share of Lead Time Demand (Units)]]*Unit_price</f>
        <v>7008842.8460342754</v>
      </c>
      <c r="H134" s="125">
        <f ca="1">Table14[[#This Row],[Share of Lead Time Demand (Units)]]*Unit_cost</f>
        <v>3504421.4230171377</v>
      </c>
      <c r="I134" s="125">
        <f ca="1">Table14[[#This Row],[Revenue]]-Table14[[#This Row],[Costs]]</f>
        <v>3504421.4230171377</v>
      </c>
    </row>
    <row r="135" spans="1:9">
      <c r="A135">
        <v>107</v>
      </c>
      <c r="B135">
        <f t="shared" ca="1" si="3"/>
        <v>0.49552958813418768</v>
      </c>
      <c r="C135" s="51">
        <f ca="1">_xlfn.NORM.INV(Table14[[#This Row],[Random '# for LT Demand]],Expected_LT_Demand,$F$8)*1000</f>
        <v>1899917.6710095278</v>
      </c>
      <c r="D135">
        <f t="shared" ca="1" si="4"/>
        <v>0.92918003424366669</v>
      </c>
      <c r="E135" s="55">
        <f ca="1">VLOOKUP(Table14[[#This Row],[Random '# for Share ]],$E$16:$F$21,2,TRUE)</f>
        <v>0.7</v>
      </c>
      <c r="F135" s="56">
        <f ca="1">Table14[[#This Row],[Lead Time Demand]]*Table14[[#This Row],[Share % 
(based on 
Random '#)]]</f>
        <v>1329942.3697066694</v>
      </c>
      <c r="G135" s="124">
        <f ca="1">Table14[[#This Row],[Share of Lead Time Demand (Units)]]*Unit_price</f>
        <v>10639538.957653355</v>
      </c>
      <c r="H135" s="125">
        <f ca="1">Table14[[#This Row],[Share of Lead Time Demand (Units)]]*Unit_cost</f>
        <v>5319769.4788266774</v>
      </c>
      <c r="I135" s="125">
        <f ca="1">Table14[[#This Row],[Revenue]]-Table14[[#This Row],[Costs]]</f>
        <v>5319769.4788266774</v>
      </c>
    </row>
    <row r="136" spans="1:9">
      <c r="A136">
        <v>108</v>
      </c>
      <c r="B136">
        <f t="shared" ca="1" si="3"/>
        <v>0.22906047278419717</v>
      </c>
      <c r="C136" s="51">
        <f ca="1">_xlfn.NORM.INV(Table14[[#This Row],[Random '# for LT Demand]],Expected_LT_Demand,$F$8)*1000</f>
        <v>1811074.8418539732</v>
      </c>
      <c r="D136">
        <f t="shared" ca="1" si="4"/>
        <v>0.11958921663778177</v>
      </c>
      <c r="E136" s="55">
        <f ca="1">VLOOKUP(Table14[[#This Row],[Random '# for Share ]],$E$16:$F$21,2,TRUE)</f>
        <v>0.3</v>
      </c>
      <c r="F136" s="56">
        <f ca="1">Table14[[#This Row],[Lead Time Demand]]*Table14[[#This Row],[Share % 
(based on 
Random '#)]]</f>
        <v>543322.45255619194</v>
      </c>
      <c r="G136" s="124">
        <f ca="1">Table14[[#This Row],[Share of Lead Time Demand (Units)]]*Unit_price</f>
        <v>4346579.6204495355</v>
      </c>
      <c r="H136" s="125">
        <f ca="1">Table14[[#This Row],[Share of Lead Time Demand (Units)]]*Unit_cost</f>
        <v>2173289.8102247678</v>
      </c>
      <c r="I136" s="125">
        <f ca="1">Table14[[#This Row],[Revenue]]-Table14[[#This Row],[Costs]]</f>
        <v>2173289.8102247678</v>
      </c>
    </row>
    <row r="137" spans="1:9">
      <c r="A137">
        <v>109</v>
      </c>
      <c r="B137">
        <f t="shared" ca="1" si="3"/>
        <v>0.64738388650455603</v>
      </c>
      <c r="C137" s="51">
        <f ca="1">_xlfn.NORM.INV(Table14[[#This Row],[Random '# for LT Demand]],Expected_LT_Demand,$F$8)*1000</f>
        <v>1947269.5913745621</v>
      </c>
      <c r="D137">
        <f t="shared" ca="1" si="4"/>
        <v>0.40992479047080199</v>
      </c>
      <c r="E137" s="55">
        <f ca="1">VLOOKUP(Table14[[#This Row],[Random '# for Share ]],$E$16:$F$21,2,TRUE)</f>
        <v>0.5</v>
      </c>
      <c r="F137" s="56">
        <f ca="1">Table14[[#This Row],[Lead Time Demand]]*Table14[[#This Row],[Share % 
(based on 
Random '#)]]</f>
        <v>973634.79568728106</v>
      </c>
      <c r="G137" s="124">
        <f ca="1">Table14[[#This Row],[Share of Lead Time Demand (Units)]]*Unit_price</f>
        <v>7789078.3654982485</v>
      </c>
      <c r="H137" s="125">
        <f ca="1">Table14[[#This Row],[Share of Lead Time Demand (Units)]]*Unit_cost</f>
        <v>3894539.1827491242</v>
      </c>
      <c r="I137" s="125">
        <f ca="1">Table14[[#This Row],[Revenue]]-Table14[[#This Row],[Costs]]</f>
        <v>3894539.1827491242</v>
      </c>
    </row>
    <row r="138" spans="1:9">
      <c r="A138">
        <v>110</v>
      </c>
      <c r="B138">
        <f t="shared" ca="1" si="3"/>
        <v>0.59372837723672323</v>
      </c>
      <c r="C138" s="51">
        <f ca="1">_xlfn.NORM.INV(Table14[[#This Row],[Random '# for LT Demand]],Expected_LT_Demand,$F$8)*1000</f>
        <v>1930112.2115277553</v>
      </c>
      <c r="D138">
        <f t="shared" ca="1" si="4"/>
        <v>0.69454008119060662</v>
      </c>
      <c r="E138" s="55">
        <f ca="1">VLOOKUP(Table14[[#This Row],[Random '# for Share ]],$E$16:$F$21,2,TRUE)</f>
        <v>0.6</v>
      </c>
      <c r="F138" s="56">
        <f ca="1">Table14[[#This Row],[Lead Time Demand]]*Table14[[#This Row],[Share % 
(based on 
Random '#)]]</f>
        <v>1158067.3269166532</v>
      </c>
      <c r="G138" s="124">
        <f ca="1">Table14[[#This Row],[Share of Lead Time Demand (Units)]]*Unit_price</f>
        <v>9264538.6153332256</v>
      </c>
      <c r="H138" s="125">
        <f ca="1">Table14[[#This Row],[Share of Lead Time Demand (Units)]]*Unit_cost</f>
        <v>4632269.3076666128</v>
      </c>
      <c r="I138" s="125">
        <f ca="1">Table14[[#This Row],[Revenue]]-Table14[[#This Row],[Costs]]</f>
        <v>4632269.3076666128</v>
      </c>
    </row>
    <row r="139" spans="1:9">
      <c r="A139">
        <v>111</v>
      </c>
      <c r="B139">
        <f t="shared" ca="1" si="3"/>
        <v>0.68757556029078493</v>
      </c>
      <c r="C139" s="51">
        <f ca="1">_xlfn.NORM.INV(Table14[[#This Row],[Random '# for LT Demand]],Expected_LT_Demand,$F$8)*1000</f>
        <v>1960731.2144141505</v>
      </c>
      <c r="D139">
        <f t="shared" ca="1" si="4"/>
        <v>0.36101215780714602</v>
      </c>
      <c r="E139" s="55">
        <f ca="1">VLOOKUP(Table14[[#This Row],[Random '# for Share ]],$E$16:$F$21,2,TRUE)</f>
        <v>0.5</v>
      </c>
      <c r="F139" s="56">
        <f ca="1">Table14[[#This Row],[Lead Time Demand]]*Table14[[#This Row],[Share % 
(based on 
Random '#)]]</f>
        <v>980365.60720707523</v>
      </c>
      <c r="G139" s="124">
        <f ca="1">Table14[[#This Row],[Share of Lead Time Demand (Units)]]*Unit_price</f>
        <v>7842924.8576566018</v>
      </c>
      <c r="H139" s="125">
        <f ca="1">Table14[[#This Row],[Share of Lead Time Demand (Units)]]*Unit_cost</f>
        <v>3921462.4288283009</v>
      </c>
      <c r="I139" s="125">
        <f ca="1">Table14[[#This Row],[Revenue]]-Table14[[#This Row],[Costs]]</f>
        <v>3921462.4288283009</v>
      </c>
    </row>
    <row r="140" spans="1:9">
      <c r="A140">
        <v>112</v>
      </c>
      <c r="B140">
        <f t="shared" ca="1" si="3"/>
        <v>0.54914404170902553</v>
      </c>
      <c r="C140" s="51">
        <f ca="1">_xlfn.NORM.INV(Table14[[#This Row],[Random '# for LT Demand]],Expected_LT_Demand,$F$8)*1000</f>
        <v>1916295.030874456</v>
      </c>
      <c r="D140">
        <f t="shared" ca="1" si="4"/>
        <v>0.23114065266244221</v>
      </c>
      <c r="E140" s="55">
        <f ca="1">VLOOKUP(Table14[[#This Row],[Random '# for Share ]],$E$16:$F$21,2,TRUE)</f>
        <v>0.4</v>
      </c>
      <c r="F140" s="56">
        <f ca="1">Table14[[#This Row],[Lead Time Demand]]*Table14[[#This Row],[Share % 
(based on 
Random '#)]]</f>
        <v>766518.01234978251</v>
      </c>
      <c r="G140" s="124">
        <f ca="1">Table14[[#This Row],[Share of Lead Time Demand (Units)]]*Unit_price</f>
        <v>6132144.0987982601</v>
      </c>
      <c r="H140" s="125">
        <f ca="1">Table14[[#This Row],[Share of Lead Time Demand (Units)]]*Unit_cost</f>
        <v>3066072.04939913</v>
      </c>
      <c r="I140" s="125">
        <f ca="1">Table14[[#This Row],[Revenue]]-Table14[[#This Row],[Costs]]</f>
        <v>3066072.04939913</v>
      </c>
    </row>
    <row r="141" spans="1:9">
      <c r="A141">
        <v>113</v>
      </c>
      <c r="B141">
        <f t="shared" ca="1" si="3"/>
        <v>0.61355353346539698</v>
      </c>
      <c r="C141" s="51">
        <f ca="1">_xlfn.NORM.INV(Table14[[#This Row],[Random '# for LT Demand]],Expected_LT_Demand,$F$8)*1000</f>
        <v>1936367.0545928106</v>
      </c>
      <c r="D141">
        <f t="shared" ca="1" si="4"/>
        <v>0.57015724232804232</v>
      </c>
      <c r="E141" s="55">
        <f ca="1">VLOOKUP(Table14[[#This Row],[Random '# for Share ]],$E$16:$F$21,2,TRUE)</f>
        <v>0.6</v>
      </c>
      <c r="F141" s="56">
        <f ca="1">Table14[[#This Row],[Lead Time Demand]]*Table14[[#This Row],[Share % 
(based on 
Random '#)]]</f>
        <v>1161820.2327556864</v>
      </c>
      <c r="G141" s="124">
        <f ca="1">Table14[[#This Row],[Share of Lead Time Demand (Units)]]*Unit_price</f>
        <v>9294561.8620454911</v>
      </c>
      <c r="H141" s="125">
        <f ca="1">Table14[[#This Row],[Share of Lead Time Demand (Units)]]*Unit_cost</f>
        <v>4647280.9310227456</v>
      </c>
      <c r="I141" s="125">
        <f ca="1">Table14[[#This Row],[Revenue]]-Table14[[#This Row],[Costs]]</f>
        <v>4647280.9310227456</v>
      </c>
    </row>
    <row r="142" spans="1:9">
      <c r="A142">
        <v>114</v>
      </c>
      <c r="B142">
        <f t="shared" ca="1" si="3"/>
        <v>0.91675471913722695</v>
      </c>
      <c r="C142" s="51">
        <f ca="1">_xlfn.NORM.INV(Table14[[#This Row],[Random '# for LT Demand]],Expected_LT_Demand,$F$8)*1000</f>
        <v>2069493.6512520849</v>
      </c>
      <c r="D142">
        <f t="shared" ca="1" si="4"/>
        <v>0.7270024716649186</v>
      </c>
      <c r="E142" s="55">
        <f ca="1">VLOOKUP(Table14[[#This Row],[Random '# for Share ]],$E$16:$F$21,2,TRUE)</f>
        <v>0.6</v>
      </c>
      <c r="F142" s="56">
        <f ca="1">Table14[[#This Row],[Lead Time Demand]]*Table14[[#This Row],[Share % 
(based on 
Random '#)]]</f>
        <v>1241696.1907512508</v>
      </c>
      <c r="G142" s="124">
        <f ca="1">Table14[[#This Row],[Share of Lead Time Demand (Units)]]*Unit_price</f>
        <v>9933569.5260100067</v>
      </c>
      <c r="H142" s="125">
        <f ca="1">Table14[[#This Row],[Share of Lead Time Demand (Units)]]*Unit_cost</f>
        <v>4966784.7630050033</v>
      </c>
      <c r="I142" s="125">
        <f ca="1">Table14[[#This Row],[Revenue]]-Table14[[#This Row],[Costs]]</f>
        <v>4966784.7630050033</v>
      </c>
    </row>
    <row r="143" spans="1:9">
      <c r="A143">
        <v>115</v>
      </c>
      <c r="B143">
        <f t="shared" ca="1" si="3"/>
        <v>0.53164430865440249</v>
      </c>
      <c r="C143" s="51">
        <f ca="1">_xlfn.NORM.INV(Table14[[#This Row],[Random '# for LT Demand]],Expected_LT_Demand,$F$8)*1000</f>
        <v>1910933.9611225198</v>
      </c>
      <c r="D143">
        <f t="shared" ca="1" si="4"/>
        <v>0.62391001140687463</v>
      </c>
      <c r="E143" s="55">
        <f ca="1">VLOOKUP(Table14[[#This Row],[Random '# for Share ]],$E$16:$F$21,2,TRUE)</f>
        <v>0.6</v>
      </c>
      <c r="F143" s="56">
        <f ca="1">Table14[[#This Row],[Lead Time Demand]]*Table14[[#This Row],[Share % 
(based on 
Random '#)]]</f>
        <v>1146560.3766735119</v>
      </c>
      <c r="G143" s="124">
        <f ca="1">Table14[[#This Row],[Share of Lead Time Demand (Units)]]*Unit_price</f>
        <v>9172483.0133880954</v>
      </c>
      <c r="H143" s="125">
        <f ca="1">Table14[[#This Row],[Share of Lead Time Demand (Units)]]*Unit_cost</f>
        <v>4586241.5066940477</v>
      </c>
      <c r="I143" s="125">
        <f ca="1">Table14[[#This Row],[Revenue]]-Table14[[#This Row],[Costs]]</f>
        <v>4586241.5066940477</v>
      </c>
    </row>
    <row r="144" spans="1:9">
      <c r="A144">
        <v>116</v>
      </c>
      <c r="B144">
        <f t="shared" ca="1" si="3"/>
        <v>0.59878025728215101</v>
      </c>
      <c r="C144" s="51">
        <f ca="1">_xlfn.NORM.INV(Table14[[#This Row],[Random '# for LT Demand]],Expected_LT_Demand,$F$8)*1000</f>
        <v>1931698.1968945642</v>
      </c>
      <c r="D144">
        <f t="shared" ca="1" si="4"/>
        <v>5.5288229877073936E-2</v>
      </c>
      <c r="E144" s="55">
        <f ca="1">VLOOKUP(Table14[[#This Row],[Random '# for Share ]],$E$16:$F$21,2,TRUE)</f>
        <v>0.3</v>
      </c>
      <c r="F144" s="56">
        <f ca="1">Table14[[#This Row],[Lead Time Demand]]*Table14[[#This Row],[Share % 
(based on 
Random '#)]]</f>
        <v>579509.45906836924</v>
      </c>
      <c r="G144" s="124">
        <f ca="1">Table14[[#This Row],[Share of Lead Time Demand (Units)]]*Unit_price</f>
        <v>4636075.6725469539</v>
      </c>
      <c r="H144" s="125">
        <f ca="1">Table14[[#This Row],[Share of Lead Time Demand (Units)]]*Unit_cost</f>
        <v>2318037.8362734769</v>
      </c>
      <c r="I144" s="125">
        <f ca="1">Table14[[#This Row],[Revenue]]-Table14[[#This Row],[Costs]]</f>
        <v>2318037.8362734769</v>
      </c>
    </row>
    <row r="145" spans="1:9">
      <c r="A145">
        <v>117</v>
      </c>
      <c r="B145">
        <f t="shared" ca="1" si="3"/>
        <v>0.87341370160616694</v>
      </c>
      <c r="C145" s="51">
        <f ca="1">_xlfn.NORM.INV(Table14[[#This Row],[Random '# for LT Demand]],Expected_LT_Demand,$F$8)*1000</f>
        <v>2040206.199956489</v>
      </c>
      <c r="D145">
        <f t="shared" ca="1" si="4"/>
        <v>0.17561532249329048</v>
      </c>
      <c r="E145" s="55">
        <f ca="1">VLOOKUP(Table14[[#This Row],[Random '# for Share ]],$E$16:$F$21,2,TRUE)</f>
        <v>0.4</v>
      </c>
      <c r="F145" s="56">
        <f ca="1">Table14[[#This Row],[Lead Time Demand]]*Table14[[#This Row],[Share % 
(based on 
Random '#)]]</f>
        <v>816082.47998259566</v>
      </c>
      <c r="G145" s="124">
        <f ca="1">Table14[[#This Row],[Share of Lead Time Demand (Units)]]*Unit_price</f>
        <v>6528659.8398607653</v>
      </c>
      <c r="H145" s="125">
        <f ca="1">Table14[[#This Row],[Share of Lead Time Demand (Units)]]*Unit_cost</f>
        <v>3264329.9199303826</v>
      </c>
      <c r="I145" s="125">
        <f ca="1">Table14[[#This Row],[Revenue]]-Table14[[#This Row],[Costs]]</f>
        <v>3264329.9199303826</v>
      </c>
    </row>
    <row r="146" spans="1:9">
      <c r="A146">
        <v>118</v>
      </c>
      <c r="B146">
        <f t="shared" ca="1" si="3"/>
        <v>0.63078510125084919</v>
      </c>
      <c r="C146" s="51">
        <f ca="1">_xlfn.NORM.INV(Table14[[#This Row],[Random '# for LT Demand]],Expected_LT_Demand,$F$8)*1000</f>
        <v>1941879.5328677176</v>
      </c>
      <c r="D146">
        <f t="shared" ca="1" si="4"/>
        <v>0.40589735992441744</v>
      </c>
      <c r="E146" s="55">
        <f ca="1">VLOOKUP(Table14[[#This Row],[Random '# for Share ]],$E$16:$F$21,2,TRUE)</f>
        <v>0.5</v>
      </c>
      <c r="F146" s="56">
        <f ca="1">Table14[[#This Row],[Lead Time Demand]]*Table14[[#This Row],[Share % 
(based on 
Random '#)]]</f>
        <v>970939.76643385878</v>
      </c>
      <c r="G146" s="124">
        <f ca="1">Table14[[#This Row],[Share of Lead Time Demand (Units)]]*Unit_price</f>
        <v>7767518.1314708702</v>
      </c>
      <c r="H146" s="125">
        <f ca="1">Table14[[#This Row],[Share of Lead Time Demand (Units)]]*Unit_cost</f>
        <v>3883759.0657354351</v>
      </c>
      <c r="I146" s="125">
        <f ca="1">Table14[[#This Row],[Revenue]]-Table14[[#This Row],[Costs]]</f>
        <v>3883759.0657354351</v>
      </c>
    </row>
    <row r="147" spans="1:9">
      <c r="A147">
        <v>119</v>
      </c>
      <c r="B147">
        <f t="shared" ca="1" si="3"/>
        <v>0.28766451708741847</v>
      </c>
      <c r="C147" s="51">
        <f ca="1">_xlfn.NORM.INV(Table14[[#This Row],[Random '# for LT Demand]],Expected_LT_Demand,$F$8)*1000</f>
        <v>1833168.7541603062</v>
      </c>
      <c r="D147">
        <f t="shared" ca="1" si="4"/>
        <v>0.44855209019431563</v>
      </c>
      <c r="E147" s="55">
        <f ca="1">VLOOKUP(Table14[[#This Row],[Random '# for Share ]],$E$16:$F$21,2,TRUE)</f>
        <v>0.5</v>
      </c>
      <c r="F147" s="56">
        <f ca="1">Table14[[#This Row],[Lead Time Demand]]*Table14[[#This Row],[Share % 
(based on 
Random '#)]]</f>
        <v>916584.37708015309</v>
      </c>
      <c r="G147" s="124">
        <f ca="1">Table14[[#This Row],[Share of Lead Time Demand (Units)]]*Unit_price</f>
        <v>7332675.0166412247</v>
      </c>
      <c r="H147" s="125">
        <f ca="1">Table14[[#This Row],[Share of Lead Time Demand (Units)]]*Unit_cost</f>
        <v>3666337.5083206124</v>
      </c>
      <c r="I147" s="125">
        <f ca="1">Table14[[#This Row],[Revenue]]-Table14[[#This Row],[Costs]]</f>
        <v>3666337.5083206124</v>
      </c>
    </row>
    <row r="148" spans="1:9">
      <c r="A148">
        <v>120</v>
      </c>
      <c r="B148">
        <f t="shared" ca="1" si="3"/>
        <v>0.79135156669687678</v>
      </c>
      <c r="C148" s="51">
        <f ca="1">_xlfn.NORM.INV(Table14[[#This Row],[Random '# for LT Demand]],Expected_LT_Demand,$F$8)*1000</f>
        <v>1999895.610415092</v>
      </c>
      <c r="D148">
        <f t="shared" ca="1" si="4"/>
        <v>0.3188174182122141</v>
      </c>
      <c r="E148" s="55">
        <f ca="1">VLOOKUP(Table14[[#This Row],[Random '# for Share ]],$E$16:$F$21,2,TRUE)</f>
        <v>0.5</v>
      </c>
      <c r="F148" s="56">
        <f ca="1">Table14[[#This Row],[Lead Time Demand]]*Table14[[#This Row],[Share % 
(based on 
Random '#)]]</f>
        <v>999947.80520754599</v>
      </c>
      <c r="G148" s="124">
        <f ca="1">Table14[[#This Row],[Share of Lead Time Demand (Units)]]*Unit_price</f>
        <v>7999582.4416603679</v>
      </c>
      <c r="H148" s="125">
        <f ca="1">Table14[[#This Row],[Share of Lead Time Demand (Units)]]*Unit_cost</f>
        <v>3999791.2208301839</v>
      </c>
      <c r="I148" s="125">
        <f ca="1">Table14[[#This Row],[Revenue]]-Table14[[#This Row],[Costs]]</f>
        <v>3999791.2208301839</v>
      </c>
    </row>
    <row r="149" spans="1:9">
      <c r="A149">
        <v>121</v>
      </c>
      <c r="B149">
        <f t="shared" ca="1" si="3"/>
        <v>0.36961922574594974</v>
      </c>
      <c r="C149" s="51">
        <f ca="1">_xlfn.NORM.INV(Table14[[#This Row],[Random '# for LT Demand]],Expected_LT_Demand,$F$8)*1000</f>
        <v>1860810.8858040457</v>
      </c>
      <c r="D149">
        <f t="shared" ca="1" si="4"/>
        <v>0.85225870561692862</v>
      </c>
      <c r="E149" s="55">
        <f ca="1">VLOOKUP(Table14[[#This Row],[Random '# for Share ]],$E$16:$F$21,2,TRUE)</f>
        <v>0.7</v>
      </c>
      <c r="F149" s="56">
        <f ca="1">Table14[[#This Row],[Lead Time Demand]]*Table14[[#This Row],[Share % 
(based on 
Random '#)]]</f>
        <v>1302567.620062832</v>
      </c>
      <c r="G149" s="124">
        <f ca="1">Table14[[#This Row],[Share of Lead Time Demand (Units)]]*Unit_price</f>
        <v>10420540.960502656</v>
      </c>
      <c r="H149" s="125">
        <f ca="1">Table14[[#This Row],[Share of Lead Time Demand (Units)]]*Unit_cost</f>
        <v>5210270.4802513281</v>
      </c>
      <c r="I149" s="125">
        <f ca="1">Table14[[#This Row],[Revenue]]-Table14[[#This Row],[Costs]]</f>
        <v>5210270.4802513281</v>
      </c>
    </row>
    <row r="150" spans="1:9">
      <c r="A150">
        <v>122</v>
      </c>
      <c r="B150">
        <f t="shared" ca="1" si="3"/>
        <v>0.20450219630130784</v>
      </c>
      <c r="C150" s="51">
        <f ca="1">_xlfn.NORM.INV(Table14[[#This Row],[Random '# for LT Demand]],Expected_LT_Demand,$F$8)*1000</f>
        <v>1800898.3439711886</v>
      </c>
      <c r="D150">
        <f t="shared" ca="1" si="4"/>
        <v>0.94751677655386402</v>
      </c>
      <c r="E150" s="55">
        <f ca="1">VLOOKUP(Table14[[#This Row],[Random '# for Share ]],$E$16:$F$21,2,TRUE)</f>
        <v>0.7</v>
      </c>
      <c r="F150" s="56">
        <f ca="1">Table14[[#This Row],[Lead Time Demand]]*Table14[[#This Row],[Share % 
(based on 
Random '#)]]</f>
        <v>1260628.8407798319</v>
      </c>
      <c r="G150" s="124">
        <f ca="1">Table14[[#This Row],[Share of Lead Time Demand (Units)]]*Unit_price</f>
        <v>10085030.726238655</v>
      </c>
      <c r="H150" s="125">
        <f ca="1">Table14[[#This Row],[Share of Lead Time Demand (Units)]]*Unit_cost</f>
        <v>5042515.3631193275</v>
      </c>
      <c r="I150" s="125">
        <f ca="1">Table14[[#This Row],[Revenue]]-Table14[[#This Row],[Costs]]</f>
        <v>5042515.3631193275</v>
      </c>
    </row>
    <row r="151" spans="1:9">
      <c r="A151">
        <v>123</v>
      </c>
      <c r="B151">
        <f t="shared" ca="1" si="3"/>
        <v>0.72970387571104411</v>
      </c>
      <c r="C151" s="51">
        <f ca="1">_xlfn.NORM.INV(Table14[[#This Row],[Random '# for LT Demand]],Expected_LT_Demand,$F$8)*1000</f>
        <v>1975676.711918005</v>
      </c>
      <c r="D151">
        <f t="shared" ca="1" si="4"/>
        <v>0.1998292995743145</v>
      </c>
      <c r="E151" s="55">
        <f ca="1">VLOOKUP(Table14[[#This Row],[Random '# for Share ]],$E$16:$F$21,2,TRUE)</f>
        <v>0.4</v>
      </c>
      <c r="F151" s="56">
        <f ca="1">Table14[[#This Row],[Lead Time Demand]]*Table14[[#This Row],[Share % 
(based on 
Random '#)]]</f>
        <v>790270.68476720201</v>
      </c>
      <c r="G151" s="124">
        <f ca="1">Table14[[#This Row],[Share of Lead Time Demand (Units)]]*Unit_price</f>
        <v>6322165.4781376161</v>
      </c>
      <c r="H151" s="125">
        <f ca="1">Table14[[#This Row],[Share of Lead Time Demand (Units)]]*Unit_cost</f>
        <v>3161082.739068808</v>
      </c>
      <c r="I151" s="125">
        <f ca="1">Table14[[#This Row],[Revenue]]-Table14[[#This Row],[Costs]]</f>
        <v>3161082.739068808</v>
      </c>
    </row>
    <row r="152" spans="1:9">
      <c r="A152">
        <v>124</v>
      </c>
      <c r="B152">
        <f t="shared" ca="1" si="3"/>
        <v>0.59973597021583236</v>
      </c>
      <c r="C152" s="51">
        <f ca="1">_xlfn.NORM.INV(Table14[[#This Row],[Random '# for LT Demand]],Expected_LT_Demand,$F$8)*1000</f>
        <v>1931998.8079473383</v>
      </c>
      <c r="D152">
        <f t="shared" ca="1" si="4"/>
        <v>0.68650453958382174</v>
      </c>
      <c r="E152" s="55">
        <f ca="1">VLOOKUP(Table14[[#This Row],[Random '# for Share ]],$E$16:$F$21,2,TRUE)</f>
        <v>0.6</v>
      </c>
      <c r="F152" s="56">
        <f ca="1">Table14[[#This Row],[Lead Time Demand]]*Table14[[#This Row],[Share % 
(based on 
Random '#)]]</f>
        <v>1159199.284768403</v>
      </c>
      <c r="G152" s="124">
        <f ca="1">Table14[[#This Row],[Share of Lead Time Demand (Units)]]*Unit_price</f>
        <v>9273594.2781472243</v>
      </c>
      <c r="H152" s="125">
        <f ca="1">Table14[[#This Row],[Share of Lead Time Demand (Units)]]*Unit_cost</f>
        <v>4636797.1390736122</v>
      </c>
      <c r="I152" s="125">
        <f ca="1">Table14[[#This Row],[Revenue]]-Table14[[#This Row],[Costs]]</f>
        <v>4636797.1390736122</v>
      </c>
    </row>
    <row r="153" spans="1:9">
      <c r="A153">
        <v>125</v>
      </c>
      <c r="B153">
        <f t="shared" ca="1" si="3"/>
        <v>0.81240839321289771</v>
      </c>
      <c r="C153" s="51">
        <f ca="1">_xlfn.NORM.INV(Table14[[#This Row],[Random '# for LT Demand]],Expected_LT_Demand,$F$8)*1000</f>
        <v>2009097.530165243</v>
      </c>
      <c r="D153">
        <f t="shared" ca="1" si="4"/>
        <v>0.85543546863202402</v>
      </c>
      <c r="E153" s="55">
        <f ca="1">VLOOKUP(Table14[[#This Row],[Random '# for Share ]],$E$16:$F$21,2,TRUE)</f>
        <v>0.7</v>
      </c>
      <c r="F153" s="56">
        <f ca="1">Table14[[#This Row],[Lead Time Demand]]*Table14[[#This Row],[Share % 
(based on 
Random '#)]]</f>
        <v>1406368.27111567</v>
      </c>
      <c r="G153" s="124">
        <f ca="1">Table14[[#This Row],[Share of Lead Time Demand (Units)]]*Unit_price</f>
        <v>11250946.16892536</v>
      </c>
      <c r="H153" s="125">
        <f ca="1">Table14[[#This Row],[Share of Lead Time Demand (Units)]]*Unit_cost</f>
        <v>5625473.0844626799</v>
      </c>
      <c r="I153" s="125">
        <f ca="1">Table14[[#This Row],[Revenue]]-Table14[[#This Row],[Costs]]</f>
        <v>5625473.0844626799</v>
      </c>
    </row>
    <row r="154" spans="1:9">
      <c r="A154">
        <v>126</v>
      </c>
      <c r="B154">
        <f t="shared" ca="1" si="3"/>
        <v>0.5372969544179752</v>
      </c>
      <c r="C154" s="51">
        <f ca="1">_xlfn.NORM.INV(Table14[[#This Row],[Random '# for LT Demand]],Expected_LT_Demand,$F$8)*1000</f>
        <v>1912663.1043342068</v>
      </c>
      <c r="D154">
        <f t="shared" ca="1" si="4"/>
        <v>0.7679079261926528</v>
      </c>
      <c r="E154" s="55">
        <f ca="1">VLOOKUP(Table14[[#This Row],[Random '# for Share ]],$E$16:$F$21,2,TRUE)</f>
        <v>0.7</v>
      </c>
      <c r="F154" s="56">
        <f ca="1">Table14[[#This Row],[Lead Time Demand]]*Table14[[#This Row],[Share % 
(based on 
Random '#)]]</f>
        <v>1338864.1730339446</v>
      </c>
      <c r="G154" s="124">
        <f ca="1">Table14[[#This Row],[Share of Lead Time Demand (Units)]]*Unit_price</f>
        <v>10710913.384271557</v>
      </c>
      <c r="H154" s="125">
        <f ca="1">Table14[[#This Row],[Share of Lead Time Demand (Units)]]*Unit_cost</f>
        <v>5355456.6921357783</v>
      </c>
      <c r="I154" s="125">
        <f ca="1">Table14[[#This Row],[Revenue]]-Table14[[#This Row],[Costs]]</f>
        <v>5355456.6921357783</v>
      </c>
    </row>
    <row r="155" spans="1:9">
      <c r="A155">
        <v>127</v>
      </c>
      <c r="B155">
        <f t="shared" ca="1" si="3"/>
        <v>0.49461118385322878</v>
      </c>
      <c r="C155" s="51">
        <f ca="1">_xlfn.NORM.INV(Table14[[#This Row],[Random '# for LT Demand]],Expected_LT_Demand,$F$8)*1000</f>
        <v>1899637.7616640339</v>
      </c>
      <c r="D155">
        <f t="shared" ca="1" si="4"/>
        <v>0.42332731261394463</v>
      </c>
      <c r="E155" s="55">
        <f ca="1">VLOOKUP(Table14[[#This Row],[Random '# for Share ]],$E$16:$F$21,2,TRUE)</f>
        <v>0.5</v>
      </c>
      <c r="F155" s="56">
        <f ca="1">Table14[[#This Row],[Lead Time Demand]]*Table14[[#This Row],[Share % 
(based on 
Random '#)]]</f>
        <v>949818.88083201693</v>
      </c>
      <c r="G155" s="124">
        <f ca="1">Table14[[#This Row],[Share of Lead Time Demand (Units)]]*Unit_price</f>
        <v>7598551.0466561355</v>
      </c>
      <c r="H155" s="125">
        <f ca="1">Table14[[#This Row],[Share of Lead Time Demand (Units)]]*Unit_cost</f>
        <v>3799275.5233280677</v>
      </c>
      <c r="I155" s="125">
        <f ca="1">Table14[[#This Row],[Revenue]]-Table14[[#This Row],[Costs]]</f>
        <v>3799275.5233280677</v>
      </c>
    </row>
    <row r="156" spans="1:9">
      <c r="A156">
        <v>128</v>
      </c>
      <c r="B156">
        <f t="shared" ca="1" si="3"/>
        <v>0.47284866703553075</v>
      </c>
      <c r="C156" s="51">
        <f ca="1">_xlfn.NORM.INV(Table14[[#This Row],[Random '# for LT Demand]],Expected_LT_Demand,$F$8)*1000</f>
        <v>1892999.1866723765</v>
      </c>
      <c r="D156">
        <f t="shared" ca="1" si="4"/>
        <v>0.4668673752756396</v>
      </c>
      <c r="E156" s="55">
        <f ca="1">VLOOKUP(Table14[[#This Row],[Random '# for Share ]],$E$16:$F$21,2,TRUE)</f>
        <v>0.5</v>
      </c>
      <c r="F156" s="56">
        <f ca="1">Table14[[#This Row],[Lead Time Demand]]*Table14[[#This Row],[Share % 
(based on 
Random '#)]]</f>
        <v>946499.59333618823</v>
      </c>
      <c r="G156" s="124">
        <f ca="1">Table14[[#This Row],[Share of Lead Time Demand (Units)]]*Unit_price</f>
        <v>7571996.7466895059</v>
      </c>
      <c r="H156" s="125">
        <f ca="1">Table14[[#This Row],[Share of Lead Time Demand (Units)]]*Unit_cost</f>
        <v>3785998.3733447529</v>
      </c>
      <c r="I156" s="125">
        <f ca="1">Table14[[#This Row],[Revenue]]-Table14[[#This Row],[Costs]]</f>
        <v>3785998.3733447529</v>
      </c>
    </row>
    <row r="157" spans="1:9">
      <c r="A157">
        <v>129</v>
      </c>
      <c r="B157">
        <f t="shared" ref="B157:B220" ca="1" si="5">RAND()</f>
        <v>0.89811793329960687</v>
      </c>
      <c r="C157" s="51">
        <f ca="1">_xlfn.NORM.INV(Table14[[#This Row],[Random '# for LT Demand]],Expected_LT_Demand,$F$8)*1000</f>
        <v>2055795.4816581546</v>
      </c>
      <c r="D157">
        <f t="shared" ref="D157:D220" ca="1" si="6">RAND()</f>
        <v>0.57036866247809981</v>
      </c>
      <c r="E157" s="55">
        <f ca="1">VLOOKUP(Table14[[#This Row],[Random '# for Share ]],$E$16:$F$21,2,TRUE)</f>
        <v>0.6</v>
      </c>
      <c r="F157" s="56">
        <f ca="1">Table14[[#This Row],[Lead Time Demand]]*Table14[[#This Row],[Share % 
(based on 
Random '#)]]</f>
        <v>1233477.2889948927</v>
      </c>
      <c r="G157" s="124">
        <f ca="1">Table14[[#This Row],[Share of Lead Time Demand (Units)]]*Unit_price</f>
        <v>9867818.3119591419</v>
      </c>
      <c r="H157" s="125">
        <f ca="1">Table14[[#This Row],[Share of Lead Time Demand (Units)]]*Unit_cost</f>
        <v>4933909.1559795709</v>
      </c>
      <c r="I157" s="125">
        <f ca="1">Table14[[#This Row],[Revenue]]-Table14[[#This Row],[Costs]]</f>
        <v>4933909.1559795709</v>
      </c>
    </row>
    <row r="158" spans="1:9">
      <c r="A158">
        <v>130</v>
      </c>
      <c r="B158">
        <f t="shared" ca="1" si="5"/>
        <v>0.81510043454307057</v>
      </c>
      <c r="C158" s="51">
        <f ca="1">_xlfn.NORM.INV(Table14[[#This Row],[Random '# for LT Demand]],Expected_LT_Demand,$F$8)*1000</f>
        <v>2010318.604071982</v>
      </c>
      <c r="D158">
        <f t="shared" ca="1" si="6"/>
        <v>0.90770809246829676</v>
      </c>
      <c r="E158" s="55">
        <f ca="1">VLOOKUP(Table14[[#This Row],[Random '# for Share ]],$E$16:$F$21,2,TRUE)</f>
        <v>0.7</v>
      </c>
      <c r="F158" s="56">
        <f ca="1">Table14[[#This Row],[Lead Time Demand]]*Table14[[#This Row],[Share % 
(based on 
Random '#)]]</f>
        <v>1407223.0228503873</v>
      </c>
      <c r="G158" s="124">
        <f ca="1">Table14[[#This Row],[Share of Lead Time Demand (Units)]]*Unit_price</f>
        <v>11257784.182803098</v>
      </c>
      <c r="H158" s="125">
        <f ca="1">Table14[[#This Row],[Share of Lead Time Demand (Units)]]*Unit_cost</f>
        <v>5628892.0914015491</v>
      </c>
      <c r="I158" s="125">
        <f ca="1">Table14[[#This Row],[Revenue]]-Table14[[#This Row],[Costs]]</f>
        <v>5628892.0914015491</v>
      </c>
    </row>
    <row r="159" spans="1:9">
      <c r="A159">
        <v>131</v>
      </c>
      <c r="B159">
        <f t="shared" ca="1" si="5"/>
        <v>0.47865591417281084</v>
      </c>
      <c r="C159" s="51">
        <f ca="1">_xlfn.NORM.INV(Table14[[#This Row],[Random '# for LT Demand]],Expected_LT_Demand,$F$8)*1000</f>
        <v>1894772.2637199392</v>
      </c>
      <c r="D159">
        <f t="shared" ca="1" si="6"/>
        <v>0.65130642554020002</v>
      </c>
      <c r="E159" s="55">
        <f ca="1">VLOOKUP(Table14[[#This Row],[Random '# for Share ]],$E$16:$F$21,2,TRUE)</f>
        <v>0.6</v>
      </c>
      <c r="F159" s="56">
        <f ca="1">Table14[[#This Row],[Lead Time Demand]]*Table14[[#This Row],[Share % 
(based on 
Random '#)]]</f>
        <v>1136863.3582319634</v>
      </c>
      <c r="G159" s="124">
        <f ca="1">Table14[[#This Row],[Share of Lead Time Demand (Units)]]*Unit_price</f>
        <v>9094906.8658557069</v>
      </c>
      <c r="H159" s="125">
        <f ca="1">Table14[[#This Row],[Share of Lead Time Demand (Units)]]*Unit_cost</f>
        <v>4547453.4329278534</v>
      </c>
      <c r="I159" s="125">
        <f ca="1">Table14[[#This Row],[Revenue]]-Table14[[#This Row],[Costs]]</f>
        <v>4547453.4329278534</v>
      </c>
    </row>
    <row r="160" spans="1:9">
      <c r="A160">
        <v>132</v>
      </c>
      <c r="B160">
        <f t="shared" ca="1" si="5"/>
        <v>0.13146857171244253</v>
      </c>
      <c r="C160" s="51">
        <f ca="1">_xlfn.NORM.INV(Table14[[#This Row],[Random '# for LT Demand]],Expected_LT_Demand,$F$8)*1000</f>
        <v>1765174.7641575977</v>
      </c>
      <c r="D160">
        <f t="shared" ca="1" si="6"/>
        <v>0.93902539591700129</v>
      </c>
      <c r="E160" s="55">
        <f ca="1">VLOOKUP(Table14[[#This Row],[Random '# for Share ]],$E$16:$F$21,2,TRUE)</f>
        <v>0.7</v>
      </c>
      <c r="F160" s="56">
        <f ca="1">Table14[[#This Row],[Lead Time Demand]]*Table14[[#This Row],[Share % 
(based on 
Random '#)]]</f>
        <v>1235622.3349103183</v>
      </c>
      <c r="G160" s="124">
        <f ca="1">Table14[[#This Row],[Share of Lead Time Demand (Units)]]*Unit_price</f>
        <v>9884978.679282546</v>
      </c>
      <c r="H160" s="125">
        <f ca="1">Table14[[#This Row],[Share of Lead Time Demand (Units)]]*Unit_cost</f>
        <v>4942489.339641273</v>
      </c>
      <c r="I160" s="125">
        <f ca="1">Table14[[#This Row],[Revenue]]-Table14[[#This Row],[Costs]]</f>
        <v>4942489.339641273</v>
      </c>
    </row>
    <row r="161" spans="1:9">
      <c r="A161">
        <v>133</v>
      </c>
      <c r="B161">
        <f t="shared" ca="1" si="5"/>
        <v>0.20749790761188602</v>
      </c>
      <c r="C161" s="51">
        <f ca="1">_xlfn.NORM.INV(Table14[[#This Row],[Random '# for LT Demand]],Expected_LT_Demand,$F$8)*1000</f>
        <v>1802176.5465528974</v>
      </c>
      <c r="D161">
        <f t="shared" ca="1" si="6"/>
        <v>0.13371057680312171</v>
      </c>
      <c r="E161" s="55">
        <f ca="1">VLOOKUP(Table14[[#This Row],[Random '# for Share ]],$E$16:$F$21,2,TRUE)</f>
        <v>0.3</v>
      </c>
      <c r="F161" s="56">
        <f ca="1">Table14[[#This Row],[Lead Time Demand]]*Table14[[#This Row],[Share % 
(based on 
Random '#)]]</f>
        <v>540652.96396586916</v>
      </c>
      <c r="G161" s="124">
        <f ca="1">Table14[[#This Row],[Share of Lead Time Demand (Units)]]*Unit_price</f>
        <v>4325223.7117269533</v>
      </c>
      <c r="H161" s="125">
        <f ca="1">Table14[[#This Row],[Share of Lead Time Demand (Units)]]*Unit_cost</f>
        <v>2162611.8558634766</v>
      </c>
      <c r="I161" s="125">
        <f ca="1">Table14[[#This Row],[Revenue]]-Table14[[#This Row],[Costs]]</f>
        <v>2162611.8558634766</v>
      </c>
    </row>
    <row r="162" spans="1:9">
      <c r="A162">
        <v>134</v>
      </c>
      <c r="B162">
        <f t="shared" ca="1" si="5"/>
        <v>0.14325842584212267</v>
      </c>
      <c r="C162" s="51">
        <f ca="1">_xlfn.NORM.INV(Table14[[#This Row],[Random '# for LT Demand]],Expected_LT_Demand,$F$8)*1000</f>
        <v>1771701.4096836955</v>
      </c>
      <c r="D162">
        <f t="shared" ca="1" si="6"/>
        <v>0.80042957830294215</v>
      </c>
      <c r="E162" s="55">
        <f ca="1">VLOOKUP(Table14[[#This Row],[Random '# for Share ]],$E$16:$F$21,2,TRUE)</f>
        <v>0.7</v>
      </c>
      <c r="F162" s="56">
        <f ca="1">Table14[[#This Row],[Lead Time Demand]]*Table14[[#This Row],[Share % 
(based on 
Random '#)]]</f>
        <v>1240190.9867785869</v>
      </c>
      <c r="G162" s="124">
        <f ca="1">Table14[[#This Row],[Share of Lead Time Demand (Units)]]*Unit_price</f>
        <v>9921527.894228695</v>
      </c>
      <c r="H162" s="125">
        <f ca="1">Table14[[#This Row],[Share of Lead Time Demand (Units)]]*Unit_cost</f>
        <v>4960763.9471143475</v>
      </c>
      <c r="I162" s="125">
        <f ca="1">Table14[[#This Row],[Revenue]]-Table14[[#This Row],[Costs]]</f>
        <v>4960763.9471143475</v>
      </c>
    </row>
    <row r="163" spans="1:9">
      <c r="A163">
        <v>135</v>
      </c>
      <c r="B163">
        <f t="shared" ca="1" si="5"/>
        <v>8.8517033806485679E-2</v>
      </c>
      <c r="C163" s="51">
        <f ca="1">_xlfn.NORM.INV(Table14[[#This Row],[Random '# for LT Demand]],Expected_LT_Demand,$F$8)*1000</f>
        <v>1737154.6230090254</v>
      </c>
      <c r="D163">
        <f t="shared" ca="1" si="6"/>
        <v>0.48656206659558854</v>
      </c>
      <c r="E163" s="55">
        <f ca="1">VLOOKUP(Table14[[#This Row],[Random '# for Share ]],$E$16:$F$21,2,TRUE)</f>
        <v>0.5</v>
      </c>
      <c r="F163" s="56">
        <f ca="1">Table14[[#This Row],[Lead Time Demand]]*Table14[[#This Row],[Share % 
(based on 
Random '#)]]</f>
        <v>868577.31150451268</v>
      </c>
      <c r="G163" s="124">
        <f ca="1">Table14[[#This Row],[Share of Lead Time Demand (Units)]]*Unit_price</f>
        <v>6948618.4920361014</v>
      </c>
      <c r="H163" s="125">
        <f ca="1">Table14[[#This Row],[Share of Lead Time Demand (Units)]]*Unit_cost</f>
        <v>3474309.2460180507</v>
      </c>
      <c r="I163" s="125">
        <f ca="1">Table14[[#This Row],[Revenue]]-Table14[[#This Row],[Costs]]</f>
        <v>3474309.2460180507</v>
      </c>
    </row>
    <row r="164" spans="1:9">
      <c r="A164">
        <v>136</v>
      </c>
      <c r="B164">
        <f t="shared" ca="1" si="5"/>
        <v>0.85947314228546934</v>
      </c>
      <c r="C164" s="51">
        <f ca="1">_xlfn.NORM.INV(Table14[[#This Row],[Random '# for LT Demand]],Expected_LT_Demand,$F$8)*1000</f>
        <v>2032337.3290643562</v>
      </c>
      <c r="D164">
        <f t="shared" ca="1" si="6"/>
        <v>0.92645377244167315</v>
      </c>
      <c r="E164" s="55">
        <f ca="1">VLOOKUP(Table14[[#This Row],[Random '# for Share ]],$E$16:$F$21,2,TRUE)</f>
        <v>0.7</v>
      </c>
      <c r="F164" s="56">
        <f ca="1">Table14[[#This Row],[Lead Time Demand]]*Table14[[#This Row],[Share % 
(based on 
Random '#)]]</f>
        <v>1422636.1303450493</v>
      </c>
      <c r="G164" s="124">
        <f ca="1">Table14[[#This Row],[Share of Lead Time Demand (Units)]]*Unit_price</f>
        <v>11381089.042760395</v>
      </c>
      <c r="H164" s="125">
        <f ca="1">Table14[[#This Row],[Share of Lead Time Demand (Units)]]*Unit_cost</f>
        <v>5690544.5213801973</v>
      </c>
      <c r="I164" s="125">
        <f ca="1">Table14[[#This Row],[Revenue]]-Table14[[#This Row],[Costs]]</f>
        <v>5690544.5213801973</v>
      </c>
    </row>
    <row r="165" spans="1:9">
      <c r="A165">
        <v>137</v>
      </c>
      <c r="B165">
        <f t="shared" ca="1" si="5"/>
        <v>0.64416287487870505</v>
      </c>
      <c r="C165" s="51">
        <f ca="1">_xlfn.NORM.INV(Table14[[#This Row],[Random '# for LT Demand]],Expected_LT_Demand,$F$8)*1000</f>
        <v>1946216.8849288281</v>
      </c>
      <c r="D165">
        <f t="shared" ca="1" si="6"/>
        <v>0.33595854305979822</v>
      </c>
      <c r="E165" s="55">
        <f ca="1">VLOOKUP(Table14[[#This Row],[Random '# for Share ]],$E$16:$F$21,2,TRUE)</f>
        <v>0.5</v>
      </c>
      <c r="F165" s="56">
        <f ca="1">Table14[[#This Row],[Lead Time Demand]]*Table14[[#This Row],[Share % 
(based on 
Random '#)]]</f>
        <v>973108.44246441405</v>
      </c>
      <c r="G165" s="124">
        <f ca="1">Table14[[#This Row],[Share of Lead Time Demand (Units)]]*Unit_price</f>
        <v>7784867.5397153124</v>
      </c>
      <c r="H165" s="125">
        <f ca="1">Table14[[#This Row],[Share of Lead Time Demand (Units)]]*Unit_cost</f>
        <v>3892433.7698576562</v>
      </c>
      <c r="I165" s="125">
        <f ca="1">Table14[[#This Row],[Revenue]]-Table14[[#This Row],[Costs]]</f>
        <v>3892433.7698576562</v>
      </c>
    </row>
    <row r="166" spans="1:9">
      <c r="A166">
        <v>138</v>
      </c>
      <c r="B166">
        <f t="shared" ca="1" si="5"/>
        <v>0.61366772090737443</v>
      </c>
      <c r="C166" s="51">
        <f ca="1">_xlfn.NORM.INV(Table14[[#This Row],[Random '# for LT Demand]],Expected_LT_Demand,$F$8)*1000</f>
        <v>1936403.33503663</v>
      </c>
      <c r="D166">
        <f t="shared" ca="1" si="6"/>
        <v>0.55042605548292922</v>
      </c>
      <c r="E166" s="55">
        <f ca="1">VLOOKUP(Table14[[#This Row],[Random '# for Share ]],$E$16:$F$21,2,TRUE)</f>
        <v>0.6</v>
      </c>
      <c r="F166" s="56">
        <f ca="1">Table14[[#This Row],[Lead Time Demand]]*Table14[[#This Row],[Share % 
(based on 
Random '#)]]</f>
        <v>1161842.001021978</v>
      </c>
      <c r="G166" s="124">
        <f ca="1">Table14[[#This Row],[Share of Lead Time Demand (Units)]]*Unit_price</f>
        <v>9294736.0081758238</v>
      </c>
      <c r="H166" s="125">
        <f ca="1">Table14[[#This Row],[Share of Lead Time Demand (Units)]]*Unit_cost</f>
        <v>4647368.0040879119</v>
      </c>
      <c r="I166" s="125">
        <f ca="1">Table14[[#This Row],[Revenue]]-Table14[[#This Row],[Costs]]</f>
        <v>4647368.0040879119</v>
      </c>
    </row>
    <row r="167" spans="1:9">
      <c r="A167">
        <v>139</v>
      </c>
      <c r="B167">
        <f t="shared" ca="1" si="5"/>
        <v>0.35823630538635987</v>
      </c>
      <c r="C167" s="51">
        <f ca="1">_xlfn.NORM.INV(Table14[[#This Row],[Random '# for LT Demand]],Expected_LT_Demand,$F$8)*1000</f>
        <v>1857125.194894392</v>
      </c>
      <c r="D167">
        <f t="shared" ca="1" si="6"/>
        <v>0.65955307163260346</v>
      </c>
      <c r="E167" s="55">
        <f ca="1">VLOOKUP(Table14[[#This Row],[Random '# for Share ]],$E$16:$F$21,2,TRUE)</f>
        <v>0.6</v>
      </c>
      <c r="F167" s="56">
        <f ca="1">Table14[[#This Row],[Lead Time Demand]]*Table14[[#This Row],[Share % 
(based on 
Random '#)]]</f>
        <v>1114275.1169366352</v>
      </c>
      <c r="G167" s="124">
        <f ca="1">Table14[[#This Row],[Share of Lead Time Demand (Units)]]*Unit_price</f>
        <v>8914200.9354930818</v>
      </c>
      <c r="H167" s="125">
        <f ca="1">Table14[[#This Row],[Share of Lead Time Demand (Units)]]*Unit_cost</f>
        <v>4457100.4677465409</v>
      </c>
      <c r="I167" s="125">
        <f ca="1">Table14[[#This Row],[Revenue]]-Table14[[#This Row],[Costs]]</f>
        <v>4457100.4677465409</v>
      </c>
    </row>
    <row r="168" spans="1:9">
      <c r="A168">
        <v>140</v>
      </c>
      <c r="B168">
        <f t="shared" ca="1" si="5"/>
        <v>0.7454787169381325</v>
      </c>
      <c r="C168" s="51">
        <f ca="1">_xlfn.NORM.INV(Table14[[#This Row],[Random '# for LT Demand]],Expected_LT_Demand,$F$8)*1000</f>
        <v>1981562.569936723</v>
      </c>
      <c r="D168">
        <f t="shared" ca="1" si="6"/>
        <v>0.42906117768005092</v>
      </c>
      <c r="E168" s="55">
        <f ca="1">VLOOKUP(Table14[[#This Row],[Random '# for Share ]],$E$16:$F$21,2,TRUE)</f>
        <v>0.5</v>
      </c>
      <c r="F168" s="56">
        <f ca="1">Table14[[#This Row],[Lead Time Demand]]*Table14[[#This Row],[Share % 
(based on 
Random '#)]]</f>
        <v>990781.28496836149</v>
      </c>
      <c r="G168" s="124">
        <f ca="1">Table14[[#This Row],[Share of Lead Time Demand (Units)]]*Unit_price</f>
        <v>7926250.2797468919</v>
      </c>
      <c r="H168" s="125">
        <f ca="1">Table14[[#This Row],[Share of Lead Time Demand (Units)]]*Unit_cost</f>
        <v>3963125.139873446</v>
      </c>
      <c r="I168" s="125">
        <f ca="1">Table14[[#This Row],[Revenue]]-Table14[[#This Row],[Costs]]</f>
        <v>3963125.139873446</v>
      </c>
    </row>
    <row r="169" spans="1:9">
      <c r="A169">
        <v>141</v>
      </c>
      <c r="B169">
        <f t="shared" ca="1" si="5"/>
        <v>0.16986877940244194</v>
      </c>
      <c r="C169" s="51">
        <f ca="1">_xlfn.NORM.INV(Table14[[#This Row],[Random '# for LT Demand]],Expected_LT_Demand,$F$8)*1000</f>
        <v>1785210.0941779197</v>
      </c>
      <c r="D169">
        <f t="shared" ca="1" si="6"/>
        <v>0.18756673746968544</v>
      </c>
      <c r="E169" s="55">
        <f ca="1">VLOOKUP(Table14[[#This Row],[Random '# for Share ]],$E$16:$F$21,2,TRUE)</f>
        <v>0.4</v>
      </c>
      <c r="F169" s="56">
        <f ca="1">Table14[[#This Row],[Lead Time Demand]]*Table14[[#This Row],[Share % 
(based on 
Random '#)]]</f>
        <v>714084.03767116787</v>
      </c>
      <c r="G169" s="124">
        <f ca="1">Table14[[#This Row],[Share of Lead Time Demand (Units)]]*Unit_price</f>
        <v>5712672.301369343</v>
      </c>
      <c r="H169" s="125">
        <f ca="1">Table14[[#This Row],[Share of Lead Time Demand (Units)]]*Unit_cost</f>
        <v>2856336.1506846715</v>
      </c>
      <c r="I169" s="125">
        <f ca="1">Table14[[#This Row],[Revenue]]-Table14[[#This Row],[Costs]]</f>
        <v>2856336.1506846715</v>
      </c>
    </row>
    <row r="170" spans="1:9">
      <c r="A170">
        <v>142</v>
      </c>
      <c r="B170">
        <f t="shared" ca="1" si="5"/>
        <v>0.48191393146911132</v>
      </c>
      <c r="C170" s="51">
        <f ca="1">_xlfn.NORM.INV(Table14[[#This Row],[Random '# for LT Demand]],Expected_LT_Demand,$F$8)*1000</f>
        <v>1895766.376348776</v>
      </c>
      <c r="D170">
        <f t="shared" ca="1" si="6"/>
        <v>0.58053845605429855</v>
      </c>
      <c r="E170" s="55">
        <f ca="1">VLOOKUP(Table14[[#This Row],[Random '# for Share ]],$E$16:$F$21,2,TRUE)</f>
        <v>0.6</v>
      </c>
      <c r="F170" s="56">
        <f ca="1">Table14[[#This Row],[Lead Time Demand]]*Table14[[#This Row],[Share % 
(based on 
Random '#)]]</f>
        <v>1137459.8258092655</v>
      </c>
      <c r="G170" s="124">
        <f ca="1">Table14[[#This Row],[Share of Lead Time Demand (Units)]]*Unit_price</f>
        <v>9099678.6064741239</v>
      </c>
      <c r="H170" s="125">
        <f ca="1">Table14[[#This Row],[Share of Lead Time Demand (Units)]]*Unit_cost</f>
        <v>4549839.3032370619</v>
      </c>
      <c r="I170" s="125">
        <f ca="1">Table14[[#This Row],[Revenue]]-Table14[[#This Row],[Costs]]</f>
        <v>4549839.3032370619</v>
      </c>
    </row>
    <row r="171" spans="1:9">
      <c r="A171">
        <v>143</v>
      </c>
      <c r="B171">
        <f t="shared" ca="1" si="5"/>
        <v>0.73148683748406984</v>
      </c>
      <c r="C171" s="51">
        <f ca="1">_xlfn.NORM.INV(Table14[[#This Row],[Random '# for LT Demand]],Expected_LT_Demand,$F$8)*1000</f>
        <v>1976333.0397291319</v>
      </c>
      <c r="D171">
        <f t="shared" ca="1" si="6"/>
        <v>0.12447283709080559</v>
      </c>
      <c r="E171" s="55">
        <f ca="1">VLOOKUP(Table14[[#This Row],[Random '# for Share ]],$E$16:$F$21,2,TRUE)</f>
        <v>0.3</v>
      </c>
      <c r="F171" s="56">
        <f ca="1">Table14[[#This Row],[Lead Time Demand]]*Table14[[#This Row],[Share % 
(based on 
Random '#)]]</f>
        <v>592899.91191873956</v>
      </c>
      <c r="G171" s="124">
        <f ca="1">Table14[[#This Row],[Share of Lead Time Demand (Units)]]*Unit_price</f>
        <v>4743199.2953499164</v>
      </c>
      <c r="H171" s="125">
        <f ca="1">Table14[[#This Row],[Share of Lead Time Demand (Units)]]*Unit_cost</f>
        <v>2371599.6476749582</v>
      </c>
      <c r="I171" s="125">
        <f ca="1">Table14[[#This Row],[Revenue]]-Table14[[#This Row],[Costs]]</f>
        <v>2371599.6476749582</v>
      </c>
    </row>
    <row r="172" spans="1:9">
      <c r="A172">
        <v>144</v>
      </c>
      <c r="B172">
        <f t="shared" ca="1" si="5"/>
        <v>0.47706141454422279</v>
      </c>
      <c r="C172" s="51">
        <f ca="1">_xlfn.NORM.INV(Table14[[#This Row],[Random '# for LT Demand]],Expected_LT_Demand,$F$8)*1000</f>
        <v>1894285.5825786281</v>
      </c>
      <c r="D172">
        <f t="shared" ca="1" si="6"/>
        <v>0.49535113189382518</v>
      </c>
      <c r="E172" s="55">
        <f ca="1">VLOOKUP(Table14[[#This Row],[Random '# for Share ]],$E$16:$F$21,2,TRUE)</f>
        <v>0.5</v>
      </c>
      <c r="F172" s="56">
        <f ca="1">Table14[[#This Row],[Lead Time Demand]]*Table14[[#This Row],[Share % 
(based on 
Random '#)]]</f>
        <v>947142.79128931405</v>
      </c>
      <c r="G172" s="124">
        <f ca="1">Table14[[#This Row],[Share of Lead Time Demand (Units)]]*Unit_price</f>
        <v>7577142.3303145124</v>
      </c>
      <c r="H172" s="125">
        <f ca="1">Table14[[#This Row],[Share of Lead Time Demand (Units)]]*Unit_cost</f>
        <v>3788571.1651572562</v>
      </c>
      <c r="I172" s="125">
        <f ca="1">Table14[[#This Row],[Revenue]]-Table14[[#This Row],[Costs]]</f>
        <v>3788571.1651572562</v>
      </c>
    </row>
    <row r="173" spans="1:9">
      <c r="A173">
        <v>145</v>
      </c>
      <c r="B173">
        <f t="shared" ca="1" si="5"/>
        <v>0.51469424568324007</v>
      </c>
      <c r="C173" s="51">
        <f ca="1">_xlfn.NORM.INV(Table14[[#This Row],[Random '# for LT Demand]],Expected_LT_Demand,$F$8)*1000</f>
        <v>1905759.2297890096</v>
      </c>
      <c r="D173">
        <f t="shared" ca="1" si="6"/>
        <v>0.92615048858463667</v>
      </c>
      <c r="E173" s="55">
        <f ca="1">VLOOKUP(Table14[[#This Row],[Random '# for Share ]],$E$16:$F$21,2,TRUE)</f>
        <v>0.7</v>
      </c>
      <c r="F173" s="56">
        <f ca="1">Table14[[#This Row],[Lead Time Demand]]*Table14[[#This Row],[Share % 
(based on 
Random '#)]]</f>
        <v>1334031.4608523066</v>
      </c>
      <c r="G173" s="124">
        <f ca="1">Table14[[#This Row],[Share of Lead Time Demand (Units)]]*Unit_price</f>
        <v>10672251.686818453</v>
      </c>
      <c r="H173" s="125">
        <f ca="1">Table14[[#This Row],[Share of Lead Time Demand (Units)]]*Unit_cost</f>
        <v>5336125.8434092263</v>
      </c>
      <c r="I173" s="125">
        <f ca="1">Table14[[#This Row],[Revenue]]-Table14[[#This Row],[Costs]]</f>
        <v>5336125.8434092263</v>
      </c>
    </row>
    <row r="174" spans="1:9">
      <c r="A174">
        <v>146</v>
      </c>
      <c r="B174">
        <f t="shared" ca="1" si="5"/>
        <v>0.69092254468103709</v>
      </c>
      <c r="C174" s="51">
        <f ca="1">_xlfn.NORM.INV(Table14[[#This Row],[Random '# for LT Demand]],Expected_LT_Demand,$F$8)*1000</f>
        <v>1961883.4430390603</v>
      </c>
      <c r="D174">
        <f t="shared" ca="1" si="6"/>
        <v>0.74703079577564602</v>
      </c>
      <c r="E174" s="55">
        <f ca="1">VLOOKUP(Table14[[#This Row],[Random '# for Share ]],$E$16:$F$21,2,TRUE)</f>
        <v>0.6</v>
      </c>
      <c r="F174" s="56">
        <f ca="1">Table14[[#This Row],[Lead Time Demand]]*Table14[[#This Row],[Share % 
(based on 
Random '#)]]</f>
        <v>1177130.0658234362</v>
      </c>
      <c r="G174" s="124">
        <f ca="1">Table14[[#This Row],[Share of Lead Time Demand (Units)]]*Unit_price</f>
        <v>9417040.52658749</v>
      </c>
      <c r="H174" s="125">
        <f ca="1">Table14[[#This Row],[Share of Lead Time Demand (Units)]]*Unit_cost</f>
        <v>4708520.263293745</v>
      </c>
      <c r="I174" s="125">
        <f ca="1">Table14[[#This Row],[Revenue]]-Table14[[#This Row],[Costs]]</f>
        <v>4708520.263293745</v>
      </c>
    </row>
    <row r="175" spans="1:9">
      <c r="A175">
        <v>147</v>
      </c>
      <c r="B175">
        <f t="shared" ca="1" si="5"/>
        <v>0.11342182751923757</v>
      </c>
      <c r="C175" s="51">
        <f ca="1">_xlfn.NORM.INV(Table14[[#This Row],[Random '# for LT Demand]],Expected_LT_Demand,$F$8)*1000</f>
        <v>1754347.6794613369</v>
      </c>
      <c r="D175">
        <f t="shared" ca="1" si="6"/>
        <v>0.74639991671438854</v>
      </c>
      <c r="E175" s="55">
        <f ca="1">VLOOKUP(Table14[[#This Row],[Random '# for Share ]],$E$16:$F$21,2,TRUE)</f>
        <v>0.6</v>
      </c>
      <c r="F175" s="56">
        <f ca="1">Table14[[#This Row],[Lead Time Demand]]*Table14[[#This Row],[Share % 
(based on 
Random '#)]]</f>
        <v>1052608.6076768022</v>
      </c>
      <c r="G175" s="124">
        <f ca="1">Table14[[#This Row],[Share of Lead Time Demand (Units)]]*Unit_price</f>
        <v>8420868.8614144176</v>
      </c>
      <c r="H175" s="125">
        <f ca="1">Table14[[#This Row],[Share of Lead Time Demand (Units)]]*Unit_cost</f>
        <v>4210434.4307072088</v>
      </c>
      <c r="I175" s="125">
        <f ca="1">Table14[[#This Row],[Revenue]]-Table14[[#This Row],[Costs]]</f>
        <v>4210434.4307072088</v>
      </c>
    </row>
    <row r="176" spans="1:9">
      <c r="A176">
        <v>148</v>
      </c>
      <c r="B176">
        <f t="shared" ca="1" si="5"/>
        <v>0.83709216588948598</v>
      </c>
      <c r="C176" s="51">
        <f ca="1">_xlfn.NORM.INV(Table14[[#This Row],[Random '# for LT Demand]],Expected_LT_Demand,$F$8)*1000</f>
        <v>2020741.2871855942</v>
      </c>
      <c r="D176">
        <f t="shared" ca="1" si="6"/>
        <v>0.74588329264561981</v>
      </c>
      <c r="E176" s="55">
        <f ca="1">VLOOKUP(Table14[[#This Row],[Random '# for Share ]],$E$16:$F$21,2,TRUE)</f>
        <v>0.6</v>
      </c>
      <c r="F176" s="56">
        <f ca="1">Table14[[#This Row],[Lead Time Demand]]*Table14[[#This Row],[Share % 
(based on 
Random '#)]]</f>
        <v>1212444.7723113564</v>
      </c>
      <c r="G176" s="124">
        <f ca="1">Table14[[#This Row],[Share of Lead Time Demand (Units)]]*Unit_price</f>
        <v>9699558.1784908511</v>
      </c>
      <c r="H176" s="125">
        <f ca="1">Table14[[#This Row],[Share of Lead Time Demand (Units)]]*Unit_cost</f>
        <v>4849779.0892454255</v>
      </c>
      <c r="I176" s="125">
        <f ca="1">Table14[[#This Row],[Revenue]]-Table14[[#This Row],[Costs]]</f>
        <v>4849779.0892454255</v>
      </c>
    </row>
    <row r="177" spans="1:9">
      <c r="A177">
        <v>149</v>
      </c>
      <c r="B177">
        <f t="shared" ca="1" si="5"/>
        <v>0.46495312270843681</v>
      </c>
      <c r="C177" s="51">
        <f ca="1">_xlfn.NORM.INV(Table14[[#This Row],[Random '# for LT Demand]],Expected_LT_Demand,$F$8)*1000</f>
        <v>1890585.6062043526</v>
      </c>
      <c r="D177">
        <f t="shared" ca="1" si="6"/>
        <v>0.44942478529647012</v>
      </c>
      <c r="E177" s="55">
        <f ca="1">VLOOKUP(Table14[[#This Row],[Random '# for Share ]],$E$16:$F$21,2,TRUE)</f>
        <v>0.5</v>
      </c>
      <c r="F177" s="56">
        <f ca="1">Table14[[#This Row],[Lead Time Demand]]*Table14[[#This Row],[Share % 
(based on 
Random '#)]]</f>
        <v>945292.80310217629</v>
      </c>
      <c r="G177" s="124">
        <f ca="1">Table14[[#This Row],[Share of Lead Time Demand (Units)]]*Unit_price</f>
        <v>7562342.4248174103</v>
      </c>
      <c r="H177" s="125">
        <f ca="1">Table14[[#This Row],[Share of Lead Time Demand (Units)]]*Unit_cost</f>
        <v>3781171.2124087051</v>
      </c>
      <c r="I177" s="125">
        <f ca="1">Table14[[#This Row],[Revenue]]-Table14[[#This Row],[Costs]]</f>
        <v>3781171.2124087051</v>
      </c>
    </row>
    <row r="178" spans="1:9">
      <c r="A178">
        <v>150</v>
      </c>
      <c r="B178">
        <f t="shared" ca="1" si="5"/>
        <v>0.18221169662125847</v>
      </c>
      <c r="C178" s="51">
        <f ca="1">_xlfn.NORM.INV(Table14[[#This Row],[Random '# for LT Demand]],Expected_LT_Demand,$F$8)*1000</f>
        <v>1791011.2975446158</v>
      </c>
      <c r="D178">
        <f t="shared" ca="1" si="6"/>
        <v>9.7035469225005722E-2</v>
      </c>
      <c r="E178" s="55">
        <f ca="1">VLOOKUP(Table14[[#This Row],[Random '# for Share ]],$E$16:$F$21,2,TRUE)</f>
        <v>0.3</v>
      </c>
      <c r="F178" s="56">
        <f ca="1">Table14[[#This Row],[Lead Time Demand]]*Table14[[#This Row],[Share % 
(based on 
Random '#)]]</f>
        <v>537303.38926338474</v>
      </c>
      <c r="G178" s="124">
        <f ca="1">Table14[[#This Row],[Share of Lead Time Demand (Units)]]*Unit_price</f>
        <v>4298427.1141070779</v>
      </c>
      <c r="H178" s="125">
        <f ca="1">Table14[[#This Row],[Share of Lead Time Demand (Units)]]*Unit_cost</f>
        <v>2149213.557053539</v>
      </c>
      <c r="I178" s="125">
        <f ca="1">Table14[[#This Row],[Revenue]]-Table14[[#This Row],[Costs]]</f>
        <v>2149213.557053539</v>
      </c>
    </row>
    <row r="179" spans="1:9">
      <c r="A179">
        <v>151</v>
      </c>
      <c r="B179">
        <f t="shared" ca="1" si="5"/>
        <v>0.92763884232424054</v>
      </c>
      <c r="C179" s="51">
        <f ca="1">_xlfn.NORM.INV(Table14[[#This Row],[Random '# for LT Demand]],Expected_LT_Demand,$F$8)*1000</f>
        <v>2078595.1371287853</v>
      </c>
      <c r="D179">
        <f t="shared" ca="1" si="6"/>
        <v>0.90205210437090722</v>
      </c>
      <c r="E179" s="55">
        <f ca="1">VLOOKUP(Table14[[#This Row],[Random '# for Share ]],$E$16:$F$21,2,TRUE)</f>
        <v>0.7</v>
      </c>
      <c r="F179" s="56">
        <f ca="1">Table14[[#This Row],[Lead Time Demand]]*Table14[[#This Row],[Share % 
(based on 
Random '#)]]</f>
        <v>1455016.5959901495</v>
      </c>
      <c r="G179" s="124">
        <f ca="1">Table14[[#This Row],[Share of Lead Time Demand (Units)]]*Unit_price</f>
        <v>11640132.767921196</v>
      </c>
      <c r="H179" s="125">
        <f ca="1">Table14[[#This Row],[Share of Lead Time Demand (Units)]]*Unit_cost</f>
        <v>5820066.3839605981</v>
      </c>
      <c r="I179" s="125">
        <f ca="1">Table14[[#This Row],[Revenue]]-Table14[[#This Row],[Costs]]</f>
        <v>5820066.3839605981</v>
      </c>
    </row>
    <row r="180" spans="1:9">
      <c r="A180">
        <v>152</v>
      </c>
      <c r="B180">
        <f t="shared" ca="1" si="5"/>
        <v>0.27988189923909101</v>
      </c>
      <c r="C180" s="51">
        <f ca="1">_xlfn.NORM.INV(Table14[[#This Row],[Random '# for LT Demand]],Expected_LT_Demand,$F$8)*1000</f>
        <v>1830375.8464918276</v>
      </c>
      <c r="D180">
        <f t="shared" ca="1" si="6"/>
        <v>0.13846596947808654</v>
      </c>
      <c r="E180" s="55">
        <f ca="1">VLOOKUP(Table14[[#This Row],[Random '# for Share ]],$E$16:$F$21,2,TRUE)</f>
        <v>0.3</v>
      </c>
      <c r="F180" s="56">
        <f ca="1">Table14[[#This Row],[Lead Time Demand]]*Table14[[#This Row],[Share % 
(based on 
Random '#)]]</f>
        <v>549112.75394754822</v>
      </c>
      <c r="G180" s="124">
        <f ca="1">Table14[[#This Row],[Share of Lead Time Demand (Units)]]*Unit_price</f>
        <v>4392902.0315803858</v>
      </c>
      <c r="H180" s="125">
        <f ca="1">Table14[[#This Row],[Share of Lead Time Demand (Units)]]*Unit_cost</f>
        <v>2196451.0157901929</v>
      </c>
      <c r="I180" s="125">
        <f ca="1">Table14[[#This Row],[Revenue]]-Table14[[#This Row],[Costs]]</f>
        <v>2196451.0157901929</v>
      </c>
    </row>
    <row r="181" spans="1:9">
      <c r="A181">
        <v>153</v>
      </c>
      <c r="B181">
        <f t="shared" ca="1" si="5"/>
        <v>0.32593933029955924</v>
      </c>
      <c r="C181" s="51">
        <f ca="1">_xlfn.NORM.INV(Table14[[#This Row],[Random '# for LT Demand]],Expected_LT_Demand,$F$8)*1000</f>
        <v>1846429.0223846408</v>
      </c>
      <c r="D181">
        <f t="shared" ca="1" si="6"/>
        <v>2.4823392206557937E-2</v>
      </c>
      <c r="E181" s="55">
        <f ca="1">VLOOKUP(Table14[[#This Row],[Random '# for Share ]],$E$16:$F$21,2,TRUE)</f>
        <v>0.2</v>
      </c>
      <c r="F181" s="56">
        <f ca="1">Table14[[#This Row],[Lead Time Demand]]*Table14[[#This Row],[Share % 
(based on 
Random '#)]]</f>
        <v>369285.8044769282</v>
      </c>
      <c r="G181" s="124">
        <f ca="1">Table14[[#This Row],[Share of Lead Time Demand (Units)]]*Unit_price</f>
        <v>2954286.4358154256</v>
      </c>
      <c r="H181" s="125">
        <f ca="1">Table14[[#This Row],[Share of Lead Time Demand (Units)]]*Unit_cost</f>
        <v>1477143.2179077128</v>
      </c>
      <c r="I181" s="125">
        <f ca="1">Table14[[#This Row],[Revenue]]-Table14[[#This Row],[Costs]]</f>
        <v>1477143.2179077128</v>
      </c>
    </row>
    <row r="182" spans="1:9">
      <c r="A182">
        <v>154</v>
      </c>
      <c r="B182">
        <f t="shared" ca="1" si="5"/>
        <v>0.44720942844895062</v>
      </c>
      <c r="C182" s="51">
        <f ca="1">_xlfn.NORM.INV(Table14[[#This Row],[Random '# for LT Demand]],Expected_LT_Demand,$F$8)*1000</f>
        <v>1885144.6681156214</v>
      </c>
      <c r="D182">
        <f t="shared" ca="1" si="6"/>
        <v>0.14881348680833628</v>
      </c>
      <c r="E182" s="55">
        <f ca="1">VLOOKUP(Table14[[#This Row],[Random '# for Share ]],$E$16:$F$21,2,TRUE)</f>
        <v>0.3</v>
      </c>
      <c r="F182" s="56">
        <f ca="1">Table14[[#This Row],[Lead Time Demand]]*Table14[[#This Row],[Share % 
(based on 
Random '#)]]</f>
        <v>565543.40043468645</v>
      </c>
      <c r="G182" s="124">
        <f ca="1">Table14[[#This Row],[Share of Lead Time Demand (Units)]]*Unit_price</f>
        <v>4524347.2034774916</v>
      </c>
      <c r="H182" s="125">
        <f ca="1">Table14[[#This Row],[Share of Lead Time Demand (Units)]]*Unit_cost</f>
        <v>2262173.6017387458</v>
      </c>
      <c r="I182" s="125">
        <f ca="1">Table14[[#This Row],[Revenue]]-Table14[[#This Row],[Costs]]</f>
        <v>2262173.6017387458</v>
      </c>
    </row>
    <row r="183" spans="1:9">
      <c r="A183">
        <v>155</v>
      </c>
      <c r="B183">
        <f t="shared" ca="1" si="5"/>
        <v>0.97584735451733928</v>
      </c>
      <c r="C183" s="51">
        <f ca="1">_xlfn.NORM.INV(Table14[[#This Row],[Random '# for LT Demand]],Expected_LT_Demand,$F$8)*1000</f>
        <v>2141359.7875281097</v>
      </c>
      <c r="D183">
        <f t="shared" ca="1" si="6"/>
        <v>8.6365334367645374E-2</v>
      </c>
      <c r="E183" s="55">
        <f ca="1">VLOOKUP(Table14[[#This Row],[Random '# for Share ]],$E$16:$F$21,2,TRUE)</f>
        <v>0.3</v>
      </c>
      <c r="F183" s="56">
        <f ca="1">Table14[[#This Row],[Lead Time Demand]]*Table14[[#This Row],[Share % 
(based on 
Random '#)]]</f>
        <v>642407.93625843292</v>
      </c>
      <c r="G183" s="124">
        <f ca="1">Table14[[#This Row],[Share of Lead Time Demand (Units)]]*Unit_price</f>
        <v>5139263.4900674634</v>
      </c>
      <c r="H183" s="125">
        <f ca="1">Table14[[#This Row],[Share of Lead Time Demand (Units)]]*Unit_cost</f>
        <v>2569631.7450337317</v>
      </c>
      <c r="I183" s="125">
        <f ca="1">Table14[[#This Row],[Revenue]]-Table14[[#This Row],[Costs]]</f>
        <v>2569631.7450337317</v>
      </c>
    </row>
    <row r="184" spans="1:9">
      <c r="A184">
        <v>156</v>
      </c>
      <c r="B184">
        <f t="shared" ca="1" si="5"/>
        <v>0.35939462837945191</v>
      </c>
      <c r="C184" s="51">
        <f ca="1">_xlfn.NORM.INV(Table14[[#This Row],[Random '# for LT Demand]],Expected_LT_Demand,$F$8)*1000</f>
        <v>1857502.052551213</v>
      </c>
      <c r="D184">
        <f t="shared" ca="1" si="6"/>
        <v>6.1718028300022487E-2</v>
      </c>
      <c r="E184" s="55">
        <f ca="1">VLOOKUP(Table14[[#This Row],[Random '# for Share ]],$E$16:$F$21,2,TRUE)</f>
        <v>0.3</v>
      </c>
      <c r="F184" s="56">
        <f ca="1">Table14[[#This Row],[Lead Time Demand]]*Table14[[#This Row],[Share % 
(based on 
Random '#)]]</f>
        <v>557250.61576536391</v>
      </c>
      <c r="G184" s="124">
        <f ca="1">Table14[[#This Row],[Share of Lead Time Demand (Units)]]*Unit_price</f>
        <v>4458004.9261229113</v>
      </c>
      <c r="H184" s="125">
        <f ca="1">Table14[[#This Row],[Share of Lead Time Demand (Units)]]*Unit_cost</f>
        <v>2229002.4630614556</v>
      </c>
      <c r="I184" s="125">
        <f ca="1">Table14[[#This Row],[Revenue]]-Table14[[#This Row],[Costs]]</f>
        <v>2229002.4630614556</v>
      </c>
    </row>
    <row r="185" spans="1:9">
      <c r="A185">
        <v>157</v>
      </c>
      <c r="B185">
        <f t="shared" ca="1" si="5"/>
        <v>0.48578493360046426</v>
      </c>
      <c r="C185" s="51">
        <f ca="1">_xlfn.NORM.INV(Table14[[#This Row],[Random '# for LT Demand]],Expected_LT_Demand,$F$8)*1000</f>
        <v>1896947.0542864657</v>
      </c>
      <c r="D185">
        <f t="shared" ca="1" si="6"/>
        <v>0.34719040306945315</v>
      </c>
      <c r="E185" s="55">
        <f ca="1">VLOOKUP(Table14[[#This Row],[Random '# for Share ]],$E$16:$F$21,2,TRUE)</f>
        <v>0.5</v>
      </c>
      <c r="F185" s="56">
        <f ca="1">Table14[[#This Row],[Lead Time Demand]]*Table14[[#This Row],[Share % 
(based on 
Random '#)]]</f>
        <v>948473.52714323287</v>
      </c>
      <c r="G185" s="124">
        <f ca="1">Table14[[#This Row],[Share of Lead Time Demand (Units)]]*Unit_price</f>
        <v>7587788.217145863</v>
      </c>
      <c r="H185" s="125">
        <f ca="1">Table14[[#This Row],[Share of Lead Time Demand (Units)]]*Unit_cost</f>
        <v>3793894.1085729315</v>
      </c>
      <c r="I185" s="125">
        <f ca="1">Table14[[#This Row],[Revenue]]-Table14[[#This Row],[Costs]]</f>
        <v>3793894.1085729315</v>
      </c>
    </row>
    <row r="186" spans="1:9">
      <c r="A186">
        <v>158</v>
      </c>
      <c r="B186">
        <f t="shared" ca="1" si="5"/>
        <v>0.24009882477144362</v>
      </c>
      <c r="C186" s="51">
        <f ca="1">_xlfn.NORM.INV(Table14[[#This Row],[Random '# for LT Demand]],Expected_LT_Demand,$F$8)*1000</f>
        <v>1815446.8188339358</v>
      </c>
      <c r="D186">
        <f t="shared" ca="1" si="6"/>
        <v>0.10144031666941222</v>
      </c>
      <c r="E186" s="55">
        <f ca="1">VLOOKUP(Table14[[#This Row],[Random '# for Share ]],$E$16:$F$21,2,TRUE)</f>
        <v>0.3</v>
      </c>
      <c r="F186" s="56">
        <f ca="1">Table14[[#This Row],[Lead Time Demand]]*Table14[[#This Row],[Share % 
(based on 
Random '#)]]</f>
        <v>544634.04565018066</v>
      </c>
      <c r="G186" s="124">
        <f ca="1">Table14[[#This Row],[Share of Lead Time Demand (Units)]]*Unit_price</f>
        <v>4357072.3652014453</v>
      </c>
      <c r="H186" s="125">
        <f ca="1">Table14[[#This Row],[Share of Lead Time Demand (Units)]]*Unit_cost</f>
        <v>2178536.1826007226</v>
      </c>
      <c r="I186" s="125">
        <f ca="1">Table14[[#This Row],[Revenue]]-Table14[[#This Row],[Costs]]</f>
        <v>2178536.1826007226</v>
      </c>
    </row>
    <row r="187" spans="1:9">
      <c r="A187">
        <v>159</v>
      </c>
      <c r="B187">
        <f t="shared" ca="1" si="5"/>
        <v>0.2145689805312393</v>
      </c>
      <c r="C187" s="51">
        <f ca="1">_xlfn.NORM.INV(Table14[[#This Row],[Random '# for LT Demand]],Expected_LT_Demand,$F$8)*1000</f>
        <v>1805151.1101543226</v>
      </c>
      <c r="D187">
        <f t="shared" ca="1" si="6"/>
        <v>0.31851558348134057</v>
      </c>
      <c r="E187" s="55">
        <f ca="1">VLOOKUP(Table14[[#This Row],[Random '# for Share ]],$E$16:$F$21,2,TRUE)</f>
        <v>0.5</v>
      </c>
      <c r="F187" s="56">
        <f ca="1">Table14[[#This Row],[Lead Time Demand]]*Table14[[#This Row],[Share % 
(based on 
Random '#)]]</f>
        <v>902575.55507716129</v>
      </c>
      <c r="G187" s="124">
        <f ca="1">Table14[[#This Row],[Share of Lead Time Demand (Units)]]*Unit_price</f>
        <v>7220604.4406172903</v>
      </c>
      <c r="H187" s="125">
        <f ca="1">Table14[[#This Row],[Share of Lead Time Demand (Units)]]*Unit_cost</f>
        <v>3610302.2203086452</v>
      </c>
      <c r="I187" s="125">
        <f ca="1">Table14[[#This Row],[Revenue]]-Table14[[#This Row],[Costs]]</f>
        <v>3610302.2203086452</v>
      </c>
    </row>
    <row r="188" spans="1:9">
      <c r="A188">
        <v>160</v>
      </c>
      <c r="B188">
        <f t="shared" ca="1" si="5"/>
        <v>0.77553915852804878</v>
      </c>
      <c r="C188" s="51">
        <f ca="1">_xlfn.NORM.INV(Table14[[#This Row],[Random '# for LT Demand]],Expected_LT_Demand,$F$8)*1000</f>
        <v>1993341.7649419643</v>
      </c>
      <c r="D188">
        <f t="shared" ca="1" si="6"/>
        <v>0.45775957214336582</v>
      </c>
      <c r="E188" s="55">
        <f ca="1">VLOOKUP(Table14[[#This Row],[Random '# for Share ]],$E$16:$F$21,2,TRUE)</f>
        <v>0.5</v>
      </c>
      <c r="F188" s="56">
        <f ca="1">Table14[[#This Row],[Lead Time Demand]]*Table14[[#This Row],[Share % 
(based on 
Random '#)]]</f>
        <v>996670.88247098215</v>
      </c>
      <c r="G188" s="124">
        <f ca="1">Table14[[#This Row],[Share of Lead Time Demand (Units)]]*Unit_price</f>
        <v>7973367.0597678572</v>
      </c>
      <c r="H188" s="125">
        <f ca="1">Table14[[#This Row],[Share of Lead Time Demand (Units)]]*Unit_cost</f>
        <v>3986683.5298839286</v>
      </c>
      <c r="I188" s="125">
        <f ca="1">Table14[[#This Row],[Revenue]]-Table14[[#This Row],[Costs]]</f>
        <v>3986683.5298839286</v>
      </c>
    </row>
    <row r="189" spans="1:9">
      <c r="A189">
        <v>161</v>
      </c>
      <c r="B189">
        <f t="shared" ca="1" si="5"/>
        <v>0.82872628193338393</v>
      </c>
      <c r="C189" s="51">
        <f ca="1">_xlfn.NORM.INV(Table14[[#This Row],[Random '# for LT Demand]],Expected_LT_Demand,$F$8)*1000</f>
        <v>2016676.506228653</v>
      </c>
      <c r="D189">
        <f t="shared" ca="1" si="6"/>
        <v>0.39291242015242711</v>
      </c>
      <c r="E189" s="55">
        <f ca="1">VLOOKUP(Table14[[#This Row],[Random '# for Share ]],$E$16:$F$21,2,TRUE)</f>
        <v>0.5</v>
      </c>
      <c r="F189" s="56">
        <f ca="1">Table14[[#This Row],[Lead Time Demand]]*Table14[[#This Row],[Share % 
(based on 
Random '#)]]</f>
        <v>1008338.2531143265</v>
      </c>
      <c r="G189" s="124">
        <f ca="1">Table14[[#This Row],[Share of Lead Time Demand (Units)]]*Unit_price</f>
        <v>8066706.0249146121</v>
      </c>
      <c r="H189" s="125">
        <f ca="1">Table14[[#This Row],[Share of Lead Time Demand (Units)]]*Unit_cost</f>
        <v>4033353.012457306</v>
      </c>
      <c r="I189" s="125">
        <f ca="1">Table14[[#This Row],[Revenue]]-Table14[[#This Row],[Costs]]</f>
        <v>4033353.012457306</v>
      </c>
    </row>
    <row r="190" spans="1:9">
      <c r="A190">
        <v>162</v>
      </c>
      <c r="B190">
        <f t="shared" ca="1" si="5"/>
        <v>0.46620450419220305</v>
      </c>
      <c r="C190" s="51">
        <f ca="1">_xlfn.NORM.INV(Table14[[#This Row],[Random '# for LT Demand]],Expected_LT_Demand,$F$8)*1000</f>
        <v>1890968.3963197339</v>
      </c>
      <c r="D190">
        <f t="shared" ca="1" si="6"/>
        <v>0.51979958210713428</v>
      </c>
      <c r="E190" s="55">
        <f ca="1">VLOOKUP(Table14[[#This Row],[Random '# for Share ]],$E$16:$F$21,2,TRUE)</f>
        <v>0.6</v>
      </c>
      <c r="F190" s="56">
        <f ca="1">Table14[[#This Row],[Lead Time Demand]]*Table14[[#This Row],[Share % 
(based on 
Random '#)]]</f>
        <v>1134581.0377918403</v>
      </c>
      <c r="G190" s="124">
        <f ca="1">Table14[[#This Row],[Share of Lead Time Demand (Units)]]*Unit_price</f>
        <v>9076648.3023347221</v>
      </c>
      <c r="H190" s="125">
        <f ca="1">Table14[[#This Row],[Share of Lead Time Demand (Units)]]*Unit_cost</f>
        <v>4538324.1511673611</v>
      </c>
      <c r="I190" s="125">
        <f ca="1">Table14[[#This Row],[Revenue]]-Table14[[#This Row],[Costs]]</f>
        <v>4538324.1511673611</v>
      </c>
    </row>
    <row r="191" spans="1:9">
      <c r="A191">
        <v>163</v>
      </c>
      <c r="B191">
        <f t="shared" ca="1" si="5"/>
        <v>0.14854355752575665</v>
      </c>
      <c r="C191" s="51">
        <f ca="1">_xlfn.NORM.INV(Table14[[#This Row],[Random '# for LT Demand]],Expected_LT_Demand,$F$8)*1000</f>
        <v>1774509.1079591836</v>
      </c>
      <c r="D191">
        <f t="shared" ca="1" si="6"/>
        <v>0.82544893695063914</v>
      </c>
      <c r="E191" s="55">
        <f ca="1">VLOOKUP(Table14[[#This Row],[Random '# for Share ]],$E$16:$F$21,2,TRUE)</f>
        <v>0.7</v>
      </c>
      <c r="F191" s="56">
        <f ca="1">Table14[[#This Row],[Lead Time Demand]]*Table14[[#This Row],[Share % 
(based on 
Random '#)]]</f>
        <v>1242156.3755714286</v>
      </c>
      <c r="G191" s="124">
        <f ca="1">Table14[[#This Row],[Share of Lead Time Demand (Units)]]*Unit_price</f>
        <v>9937251.0045714285</v>
      </c>
      <c r="H191" s="125">
        <f ca="1">Table14[[#This Row],[Share of Lead Time Demand (Units)]]*Unit_cost</f>
        <v>4968625.5022857143</v>
      </c>
      <c r="I191" s="125">
        <f ca="1">Table14[[#This Row],[Revenue]]-Table14[[#This Row],[Costs]]</f>
        <v>4968625.5022857143</v>
      </c>
    </row>
    <row r="192" spans="1:9">
      <c r="A192">
        <v>164</v>
      </c>
      <c r="B192">
        <f t="shared" ca="1" si="5"/>
        <v>0.28044717585102619</v>
      </c>
      <c r="C192" s="51">
        <f ca="1">_xlfn.NORM.INV(Table14[[#This Row],[Random '# for LT Demand]],Expected_LT_Demand,$F$8)*1000</f>
        <v>1830579.9514374889</v>
      </c>
      <c r="D192">
        <f t="shared" ca="1" si="6"/>
        <v>0.30479720208218042</v>
      </c>
      <c r="E192" s="55">
        <f ca="1">VLOOKUP(Table14[[#This Row],[Random '# for Share ]],$E$16:$F$21,2,TRUE)</f>
        <v>0.5</v>
      </c>
      <c r="F192" s="56">
        <f ca="1">Table14[[#This Row],[Lead Time Demand]]*Table14[[#This Row],[Share % 
(based on 
Random '#)]]</f>
        <v>915289.97571874445</v>
      </c>
      <c r="G192" s="124">
        <f ca="1">Table14[[#This Row],[Share of Lead Time Demand (Units)]]*Unit_price</f>
        <v>7322319.8057499556</v>
      </c>
      <c r="H192" s="125">
        <f ca="1">Table14[[#This Row],[Share of Lead Time Demand (Units)]]*Unit_cost</f>
        <v>3661159.9028749778</v>
      </c>
      <c r="I192" s="125">
        <f ca="1">Table14[[#This Row],[Revenue]]-Table14[[#This Row],[Costs]]</f>
        <v>3661159.9028749778</v>
      </c>
    </row>
    <row r="193" spans="1:9">
      <c r="A193">
        <v>165</v>
      </c>
      <c r="B193">
        <f t="shared" ca="1" si="5"/>
        <v>0.88583413889350049</v>
      </c>
      <c r="C193" s="51">
        <f ca="1">_xlfn.NORM.INV(Table14[[#This Row],[Random '# for LT Demand]],Expected_LT_Demand,$F$8)*1000</f>
        <v>2047742.9253964564</v>
      </c>
      <c r="D193">
        <f t="shared" ca="1" si="6"/>
        <v>0.7206296959119588</v>
      </c>
      <c r="E193" s="55">
        <f ca="1">VLOOKUP(Table14[[#This Row],[Random '# for Share ]],$E$16:$F$21,2,TRUE)</f>
        <v>0.6</v>
      </c>
      <c r="F193" s="56">
        <f ca="1">Table14[[#This Row],[Lead Time Demand]]*Table14[[#This Row],[Share % 
(based on 
Random '#)]]</f>
        <v>1228645.7552378739</v>
      </c>
      <c r="G193" s="124">
        <f ca="1">Table14[[#This Row],[Share of Lead Time Demand (Units)]]*Unit_price</f>
        <v>9829166.041902991</v>
      </c>
      <c r="H193" s="125">
        <f ca="1">Table14[[#This Row],[Share of Lead Time Demand (Units)]]*Unit_cost</f>
        <v>4914583.0209514955</v>
      </c>
      <c r="I193" s="125">
        <f ca="1">Table14[[#This Row],[Revenue]]-Table14[[#This Row],[Costs]]</f>
        <v>4914583.0209514955</v>
      </c>
    </row>
    <row r="194" spans="1:9">
      <c r="A194">
        <v>166</v>
      </c>
      <c r="B194">
        <f t="shared" ca="1" si="5"/>
        <v>0.41613393564671242</v>
      </c>
      <c r="C194" s="51">
        <f ca="1">_xlfn.NORM.INV(Table14[[#This Row],[Random '# for LT Demand]],Expected_LT_Demand,$F$8)*1000</f>
        <v>1875530.2908119629</v>
      </c>
      <c r="D194">
        <f t="shared" ca="1" si="6"/>
        <v>0.10140190587146469</v>
      </c>
      <c r="E194" s="55">
        <f ca="1">VLOOKUP(Table14[[#This Row],[Random '# for Share ]],$E$16:$F$21,2,TRUE)</f>
        <v>0.3</v>
      </c>
      <c r="F194" s="56">
        <f ca="1">Table14[[#This Row],[Lead Time Demand]]*Table14[[#This Row],[Share % 
(based on 
Random '#)]]</f>
        <v>562659.08724358887</v>
      </c>
      <c r="G194" s="124">
        <f ca="1">Table14[[#This Row],[Share of Lead Time Demand (Units)]]*Unit_price</f>
        <v>4501272.697948711</v>
      </c>
      <c r="H194" s="125">
        <f ca="1">Table14[[#This Row],[Share of Lead Time Demand (Units)]]*Unit_cost</f>
        <v>2250636.3489743555</v>
      </c>
      <c r="I194" s="125">
        <f ca="1">Table14[[#This Row],[Revenue]]-Table14[[#This Row],[Costs]]</f>
        <v>2250636.3489743555</v>
      </c>
    </row>
    <row r="195" spans="1:9">
      <c r="A195">
        <v>167</v>
      </c>
      <c r="B195">
        <f t="shared" ca="1" si="5"/>
        <v>0.79238908867442315</v>
      </c>
      <c r="C195" s="51">
        <f ca="1">_xlfn.NORM.INV(Table14[[#This Row],[Random '# for LT Demand]],Expected_LT_Demand,$F$8)*1000</f>
        <v>2000335.6079791822</v>
      </c>
      <c r="D195">
        <f t="shared" ca="1" si="6"/>
        <v>0.53909497737574419</v>
      </c>
      <c r="E195" s="55">
        <f ca="1">VLOOKUP(Table14[[#This Row],[Random '# for Share ]],$E$16:$F$21,2,TRUE)</f>
        <v>0.6</v>
      </c>
      <c r="F195" s="56">
        <f ca="1">Table14[[#This Row],[Lead Time Demand]]*Table14[[#This Row],[Share % 
(based on 
Random '#)]]</f>
        <v>1200201.3647875092</v>
      </c>
      <c r="G195" s="124">
        <f ca="1">Table14[[#This Row],[Share of Lead Time Demand (Units)]]*Unit_price</f>
        <v>9601610.9183000736</v>
      </c>
      <c r="H195" s="125">
        <f ca="1">Table14[[#This Row],[Share of Lead Time Demand (Units)]]*Unit_cost</f>
        <v>4800805.4591500368</v>
      </c>
      <c r="I195" s="125">
        <f ca="1">Table14[[#This Row],[Revenue]]-Table14[[#This Row],[Costs]]</f>
        <v>4800805.4591500368</v>
      </c>
    </row>
    <row r="196" spans="1:9">
      <c r="A196">
        <v>168</v>
      </c>
      <c r="B196">
        <f t="shared" ca="1" si="5"/>
        <v>0.18781897238668821</v>
      </c>
      <c r="C196" s="51">
        <f ca="1">_xlfn.NORM.INV(Table14[[#This Row],[Random '# for LT Demand]],Expected_LT_Demand,$F$8)*1000</f>
        <v>1793565.2578407519</v>
      </c>
      <c r="D196">
        <f t="shared" ca="1" si="6"/>
        <v>0.44210960977383229</v>
      </c>
      <c r="E196" s="55">
        <f ca="1">VLOOKUP(Table14[[#This Row],[Random '# for Share ]],$E$16:$F$21,2,TRUE)</f>
        <v>0.5</v>
      </c>
      <c r="F196" s="56">
        <f ca="1">Table14[[#This Row],[Lead Time Demand]]*Table14[[#This Row],[Share % 
(based on 
Random '#)]]</f>
        <v>896782.62892037595</v>
      </c>
      <c r="G196" s="124">
        <f ca="1">Table14[[#This Row],[Share of Lead Time Demand (Units)]]*Unit_price</f>
        <v>7174261.0313630076</v>
      </c>
      <c r="H196" s="125">
        <f ca="1">Table14[[#This Row],[Share of Lead Time Demand (Units)]]*Unit_cost</f>
        <v>3587130.5156815038</v>
      </c>
      <c r="I196" s="125">
        <f ca="1">Table14[[#This Row],[Revenue]]-Table14[[#This Row],[Costs]]</f>
        <v>3587130.5156815038</v>
      </c>
    </row>
    <row r="197" spans="1:9">
      <c r="A197">
        <v>169</v>
      </c>
      <c r="B197">
        <f t="shared" ca="1" si="5"/>
        <v>0.62843327435711249</v>
      </c>
      <c r="C197" s="51">
        <f ca="1">_xlfn.NORM.INV(Table14[[#This Row],[Random '# for LT Demand]],Expected_LT_Demand,$F$8)*1000</f>
        <v>1941122.4886770241</v>
      </c>
      <c r="D197">
        <f t="shared" ca="1" si="6"/>
        <v>0.43830749980433559</v>
      </c>
      <c r="E197" s="55">
        <f ca="1">VLOOKUP(Table14[[#This Row],[Random '# for Share ]],$E$16:$F$21,2,TRUE)</f>
        <v>0.5</v>
      </c>
      <c r="F197" s="56">
        <f ca="1">Table14[[#This Row],[Lead Time Demand]]*Table14[[#This Row],[Share % 
(based on 
Random '#)]]</f>
        <v>970561.24433851207</v>
      </c>
      <c r="G197" s="124">
        <f ca="1">Table14[[#This Row],[Share of Lead Time Demand (Units)]]*Unit_price</f>
        <v>7764489.9547080966</v>
      </c>
      <c r="H197" s="125">
        <f ca="1">Table14[[#This Row],[Share of Lead Time Demand (Units)]]*Unit_cost</f>
        <v>3882244.9773540483</v>
      </c>
      <c r="I197" s="125">
        <f ca="1">Table14[[#This Row],[Revenue]]-Table14[[#This Row],[Costs]]</f>
        <v>3882244.9773540483</v>
      </c>
    </row>
    <row r="198" spans="1:9">
      <c r="A198">
        <v>170</v>
      </c>
      <c r="B198">
        <f t="shared" ca="1" si="5"/>
        <v>0.91089764027642406</v>
      </c>
      <c r="C198" s="51">
        <f ca="1">_xlfn.NORM.INV(Table14[[#This Row],[Random '# for LT Demand]],Expected_LT_Demand,$F$8)*1000</f>
        <v>2064962.9454816345</v>
      </c>
      <c r="D198">
        <f t="shared" ca="1" si="6"/>
        <v>0.76994119935980299</v>
      </c>
      <c r="E198" s="55">
        <f ca="1">VLOOKUP(Table14[[#This Row],[Random '# for Share ]],$E$16:$F$21,2,TRUE)</f>
        <v>0.7</v>
      </c>
      <c r="F198" s="56">
        <f ca="1">Table14[[#This Row],[Lead Time Demand]]*Table14[[#This Row],[Share % 
(based on 
Random '#)]]</f>
        <v>1445474.061837144</v>
      </c>
      <c r="G198" s="124">
        <f ca="1">Table14[[#This Row],[Share of Lead Time Demand (Units)]]*Unit_price</f>
        <v>11563792.494697152</v>
      </c>
      <c r="H198" s="125">
        <f ca="1">Table14[[#This Row],[Share of Lead Time Demand (Units)]]*Unit_cost</f>
        <v>5781896.2473485759</v>
      </c>
      <c r="I198" s="125">
        <f ca="1">Table14[[#This Row],[Revenue]]-Table14[[#This Row],[Costs]]</f>
        <v>5781896.2473485759</v>
      </c>
    </row>
    <row r="199" spans="1:9">
      <c r="A199">
        <v>171</v>
      </c>
      <c r="B199">
        <f t="shared" ca="1" si="5"/>
        <v>0.58982004622054729</v>
      </c>
      <c r="C199" s="51">
        <f ca="1">_xlfn.NORM.INV(Table14[[#This Row],[Random '# for LT Demand]],Expected_LT_Demand,$F$8)*1000</f>
        <v>1928888.6028048866</v>
      </c>
      <c r="D199">
        <f t="shared" ca="1" si="6"/>
        <v>0.96267830766374285</v>
      </c>
      <c r="E199" s="55">
        <f ca="1">VLOOKUP(Table14[[#This Row],[Random '# for Share ]],$E$16:$F$21,2,TRUE)</f>
        <v>0.7</v>
      </c>
      <c r="F199" s="56">
        <f ca="1">Table14[[#This Row],[Lead Time Demand]]*Table14[[#This Row],[Share % 
(based on 
Random '#)]]</f>
        <v>1350222.0219634206</v>
      </c>
      <c r="G199" s="124">
        <f ca="1">Table14[[#This Row],[Share of Lead Time Demand (Units)]]*Unit_price</f>
        <v>10801776.175707364</v>
      </c>
      <c r="H199" s="125">
        <f ca="1">Table14[[#This Row],[Share of Lead Time Demand (Units)]]*Unit_cost</f>
        <v>5400888.0878536822</v>
      </c>
      <c r="I199" s="125">
        <f ca="1">Table14[[#This Row],[Revenue]]-Table14[[#This Row],[Costs]]</f>
        <v>5400888.0878536822</v>
      </c>
    </row>
    <row r="200" spans="1:9">
      <c r="A200">
        <v>172</v>
      </c>
      <c r="B200">
        <f t="shared" ca="1" si="5"/>
        <v>0.29302641738982305</v>
      </c>
      <c r="C200" s="51">
        <f ca="1">_xlfn.NORM.INV(Table14[[#This Row],[Random '# for LT Demand]],Expected_LT_Demand,$F$8)*1000</f>
        <v>1835072.1620581523</v>
      </c>
      <c r="D200">
        <f t="shared" ca="1" si="6"/>
        <v>0.17759960764982496</v>
      </c>
      <c r="E200" s="55">
        <f ca="1">VLOOKUP(Table14[[#This Row],[Random '# for Share ]],$E$16:$F$21,2,TRUE)</f>
        <v>0.4</v>
      </c>
      <c r="F200" s="56">
        <f ca="1">Table14[[#This Row],[Lead Time Demand]]*Table14[[#This Row],[Share % 
(based on 
Random '#)]]</f>
        <v>734028.86482326093</v>
      </c>
      <c r="G200" s="124">
        <f ca="1">Table14[[#This Row],[Share of Lead Time Demand (Units)]]*Unit_price</f>
        <v>5872230.9185860874</v>
      </c>
      <c r="H200" s="125">
        <f ca="1">Table14[[#This Row],[Share of Lead Time Demand (Units)]]*Unit_cost</f>
        <v>2936115.4592930437</v>
      </c>
      <c r="I200" s="125">
        <f ca="1">Table14[[#This Row],[Revenue]]-Table14[[#This Row],[Costs]]</f>
        <v>2936115.4592930437</v>
      </c>
    </row>
    <row r="201" spans="1:9">
      <c r="A201">
        <v>173</v>
      </c>
      <c r="B201">
        <f t="shared" ca="1" si="5"/>
        <v>8.526333429131161E-2</v>
      </c>
      <c r="C201" s="51">
        <f ca="1">_xlfn.NORM.INV(Table14[[#This Row],[Random '# for LT Demand]],Expected_LT_Demand,$F$8)*1000</f>
        <v>1734653.7495335059</v>
      </c>
      <c r="D201">
        <f t="shared" ca="1" si="6"/>
        <v>1.3838483595752238E-2</v>
      </c>
      <c r="E201" s="55">
        <f ca="1">VLOOKUP(Table14[[#This Row],[Random '# for Share ]],$E$16:$F$21,2,TRUE)</f>
        <v>0.2</v>
      </c>
      <c r="F201" s="56">
        <f ca="1">Table14[[#This Row],[Lead Time Demand]]*Table14[[#This Row],[Share % 
(based on 
Random '#)]]</f>
        <v>346930.74990670121</v>
      </c>
      <c r="G201" s="124">
        <f ca="1">Table14[[#This Row],[Share of Lead Time Demand (Units)]]*Unit_price</f>
        <v>2775445.9992536097</v>
      </c>
      <c r="H201" s="125">
        <f ca="1">Table14[[#This Row],[Share of Lead Time Demand (Units)]]*Unit_cost</f>
        <v>1387722.9996268048</v>
      </c>
      <c r="I201" s="125">
        <f ca="1">Table14[[#This Row],[Revenue]]-Table14[[#This Row],[Costs]]</f>
        <v>1387722.9996268048</v>
      </c>
    </row>
    <row r="202" spans="1:9">
      <c r="A202">
        <v>174</v>
      </c>
      <c r="B202">
        <f t="shared" ca="1" si="5"/>
        <v>9.3662062964903425E-2</v>
      </c>
      <c r="C202" s="51">
        <f ca="1">_xlfn.NORM.INV(Table14[[#This Row],[Random '# for LT Demand]],Expected_LT_Demand,$F$8)*1000</f>
        <v>1740973.0889282301</v>
      </c>
      <c r="D202">
        <f t="shared" ca="1" si="6"/>
        <v>0.36138259872108036</v>
      </c>
      <c r="E202" s="55">
        <f ca="1">VLOOKUP(Table14[[#This Row],[Random '# for Share ]],$E$16:$F$21,2,TRUE)</f>
        <v>0.5</v>
      </c>
      <c r="F202" s="56">
        <f ca="1">Table14[[#This Row],[Lead Time Demand]]*Table14[[#This Row],[Share % 
(based on 
Random '#)]]</f>
        <v>870486.54446411505</v>
      </c>
      <c r="G202" s="124">
        <f ca="1">Table14[[#This Row],[Share of Lead Time Demand (Units)]]*Unit_price</f>
        <v>6963892.3557129204</v>
      </c>
      <c r="H202" s="125">
        <f ca="1">Table14[[#This Row],[Share of Lead Time Demand (Units)]]*Unit_cost</f>
        <v>3481946.1778564602</v>
      </c>
      <c r="I202" s="125">
        <f ca="1">Table14[[#This Row],[Revenue]]-Table14[[#This Row],[Costs]]</f>
        <v>3481946.1778564602</v>
      </c>
    </row>
    <row r="203" spans="1:9">
      <c r="A203">
        <v>175</v>
      </c>
      <c r="B203">
        <f t="shared" ca="1" si="5"/>
        <v>0.9176461641893271</v>
      </c>
      <c r="C203" s="51">
        <f ca="1">_xlfn.NORM.INV(Table14[[#This Row],[Random '# for LT Demand]],Expected_LT_Demand,$F$8)*1000</f>
        <v>2070204.0108869178</v>
      </c>
      <c r="D203">
        <f t="shared" ca="1" si="6"/>
        <v>9.3698777895758534E-2</v>
      </c>
      <c r="E203" s="55">
        <f ca="1">VLOOKUP(Table14[[#This Row],[Random '# for Share ]],$E$16:$F$21,2,TRUE)</f>
        <v>0.3</v>
      </c>
      <c r="F203" s="56">
        <f ca="1">Table14[[#This Row],[Lead Time Demand]]*Table14[[#This Row],[Share % 
(based on 
Random '#)]]</f>
        <v>621061.20326607535</v>
      </c>
      <c r="G203" s="124">
        <f ca="1">Table14[[#This Row],[Share of Lead Time Demand (Units)]]*Unit_price</f>
        <v>4968489.6261286028</v>
      </c>
      <c r="H203" s="125">
        <f ca="1">Table14[[#This Row],[Share of Lead Time Demand (Units)]]*Unit_cost</f>
        <v>2484244.8130643014</v>
      </c>
      <c r="I203" s="125">
        <f ca="1">Table14[[#This Row],[Revenue]]-Table14[[#This Row],[Costs]]</f>
        <v>2484244.8130643014</v>
      </c>
    </row>
    <row r="204" spans="1:9">
      <c r="A204">
        <v>176</v>
      </c>
      <c r="B204">
        <f t="shared" ca="1" si="5"/>
        <v>0.78235330026239402</v>
      </c>
      <c r="C204" s="51">
        <f ca="1">_xlfn.NORM.INV(Table14[[#This Row],[Random '# for LT Demand]],Expected_LT_Demand,$F$8)*1000</f>
        <v>1996132.2142512538</v>
      </c>
      <c r="D204">
        <f t="shared" ca="1" si="6"/>
        <v>0.56942236321395789</v>
      </c>
      <c r="E204" s="55">
        <f ca="1">VLOOKUP(Table14[[#This Row],[Random '# for Share ]],$E$16:$F$21,2,TRUE)</f>
        <v>0.6</v>
      </c>
      <c r="F204" s="56">
        <f ca="1">Table14[[#This Row],[Lead Time Demand]]*Table14[[#This Row],[Share % 
(based on 
Random '#)]]</f>
        <v>1197679.3285507523</v>
      </c>
      <c r="G204" s="124">
        <f ca="1">Table14[[#This Row],[Share of Lead Time Demand (Units)]]*Unit_price</f>
        <v>9581434.628406018</v>
      </c>
      <c r="H204" s="125">
        <f ca="1">Table14[[#This Row],[Share of Lead Time Demand (Units)]]*Unit_cost</f>
        <v>4790717.314203009</v>
      </c>
      <c r="I204" s="125">
        <f ca="1">Table14[[#This Row],[Revenue]]-Table14[[#This Row],[Costs]]</f>
        <v>4790717.314203009</v>
      </c>
    </row>
    <row r="205" spans="1:9">
      <c r="A205">
        <v>177</v>
      </c>
      <c r="B205">
        <f t="shared" ca="1" si="5"/>
        <v>0.80338084230511375</v>
      </c>
      <c r="C205" s="51">
        <f ca="1">_xlfn.NORM.INV(Table14[[#This Row],[Random '# for LT Demand]],Expected_LT_Demand,$F$8)*1000</f>
        <v>2005079.7088824653</v>
      </c>
      <c r="D205">
        <f t="shared" ca="1" si="6"/>
        <v>7.3060430926442987E-2</v>
      </c>
      <c r="E205" s="55">
        <f ca="1">VLOOKUP(Table14[[#This Row],[Random '# for Share ]],$E$16:$F$21,2,TRUE)</f>
        <v>0.3</v>
      </c>
      <c r="F205" s="56">
        <f ca="1">Table14[[#This Row],[Lead Time Demand]]*Table14[[#This Row],[Share % 
(based on 
Random '#)]]</f>
        <v>601523.91266473953</v>
      </c>
      <c r="G205" s="124">
        <f ca="1">Table14[[#This Row],[Share of Lead Time Demand (Units)]]*Unit_price</f>
        <v>4812191.3013179163</v>
      </c>
      <c r="H205" s="125">
        <f ca="1">Table14[[#This Row],[Share of Lead Time Demand (Units)]]*Unit_cost</f>
        <v>2406095.6506589581</v>
      </c>
      <c r="I205" s="125">
        <f ca="1">Table14[[#This Row],[Revenue]]-Table14[[#This Row],[Costs]]</f>
        <v>2406095.6506589581</v>
      </c>
    </row>
    <row r="206" spans="1:9">
      <c r="A206">
        <v>178</v>
      </c>
      <c r="B206">
        <f t="shared" ca="1" si="5"/>
        <v>0.1821059046122151</v>
      </c>
      <c r="C206" s="51">
        <f ca="1">_xlfn.NORM.INV(Table14[[#This Row],[Random '# for LT Demand]],Expected_LT_Demand,$F$8)*1000</f>
        <v>1790962.6450032506</v>
      </c>
      <c r="D206">
        <f t="shared" ca="1" si="6"/>
        <v>0.18464598129672805</v>
      </c>
      <c r="E206" s="55">
        <f ca="1">VLOOKUP(Table14[[#This Row],[Random '# for Share ]],$E$16:$F$21,2,TRUE)</f>
        <v>0.4</v>
      </c>
      <c r="F206" s="56">
        <f ca="1">Table14[[#This Row],[Lead Time Demand]]*Table14[[#This Row],[Share % 
(based on 
Random '#)]]</f>
        <v>716385.05800130032</v>
      </c>
      <c r="G206" s="124">
        <f ca="1">Table14[[#This Row],[Share of Lead Time Demand (Units)]]*Unit_price</f>
        <v>5731080.4640104026</v>
      </c>
      <c r="H206" s="125">
        <f ca="1">Table14[[#This Row],[Share of Lead Time Demand (Units)]]*Unit_cost</f>
        <v>2865540.2320052013</v>
      </c>
      <c r="I206" s="125">
        <f ca="1">Table14[[#This Row],[Revenue]]-Table14[[#This Row],[Costs]]</f>
        <v>2865540.2320052013</v>
      </c>
    </row>
    <row r="207" spans="1:9">
      <c r="A207">
        <v>179</v>
      </c>
      <c r="B207">
        <f t="shared" ca="1" si="5"/>
        <v>0.76853825422175814</v>
      </c>
      <c r="C207" s="51">
        <f ca="1">_xlfn.NORM.INV(Table14[[#This Row],[Random '# for LT Demand]],Expected_LT_Demand,$F$8)*1000</f>
        <v>1990524.4589062789</v>
      </c>
      <c r="D207">
        <f t="shared" ca="1" si="6"/>
        <v>0.4966522914550987</v>
      </c>
      <c r="E207" s="55">
        <f ca="1">VLOOKUP(Table14[[#This Row],[Random '# for Share ]],$E$16:$F$21,2,TRUE)</f>
        <v>0.5</v>
      </c>
      <c r="F207" s="56">
        <f ca="1">Table14[[#This Row],[Lead Time Demand]]*Table14[[#This Row],[Share % 
(based on 
Random '#)]]</f>
        <v>995262.22945313947</v>
      </c>
      <c r="G207" s="124">
        <f ca="1">Table14[[#This Row],[Share of Lead Time Demand (Units)]]*Unit_price</f>
        <v>7962097.8356251158</v>
      </c>
      <c r="H207" s="125">
        <f ca="1">Table14[[#This Row],[Share of Lead Time Demand (Units)]]*Unit_cost</f>
        <v>3981048.9178125579</v>
      </c>
      <c r="I207" s="125">
        <f ca="1">Table14[[#This Row],[Revenue]]-Table14[[#This Row],[Costs]]</f>
        <v>3981048.9178125579</v>
      </c>
    </row>
    <row r="208" spans="1:9">
      <c r="A208">
        <v>180</v>
      </c>
      <c r="B208">
        <f t="shared" ca="1" si="5"/>
        <v>0.31595730244743825</v>
      </c>
      <c r="C208" s="51">
        <f ca="1">_xlfn.NORM.INV(Table14[[#This Row],[Random '# for LT Demand]],Expected_LT_Demand,$F$8)*1000</f>
        <v>1843039.3973711324</v>
      </c>
      <c r="D208">
        <f t="shared" ca="1" si="6"/>
        <v>0.48629940161095131</v>
      </c>
      <c r="E208" s="55">
        <f ca="1">VLOOKUP(Table14[[#This Row],[Random '# for Share ]],$E$16:$F$21,2,TRUE)</f>
        <v>0.5</v>
      </c>
      <c r="F208" s="56">
        <f ca="1">Table14[[#This Row],[Lead Time Demand]]*Table14[[#This Row],[Share % 
(based on 
Random '#)]]</f>
        <v>921519.6986855662</v>
      </c>
      <c r="G208" s="124">
        <f ca="1">Table14[[#This Row],[Share of Lead Time Demand (Units)]]*Unit_price</f>
        <v>7372157.5894845296</v>
      </c>
      <c r="H208" s="125">
        <f ca="1">Table14[[#This Row],[Share of Lead Time Demand (Units)]]*Unit_cost</f>
        <v>3686078.7947422648</v>
      </c>
      <c r="I208" s="125">
        <f ca="1">Table14[[#This Row],[Revenue]]-Table14[[#This Row],[Costs]]</f>
        <v>3686078.7947422648</v>
      </c>
    </row>
    <row r="209" spans="1:9">
      <c r="A209">
        <v>181</v>
      </c>
      <c r="B209">
        <f t="shared" ca="1" si="5"/>
        <v>0.45039478820882928</v>
      </c>
      <c r="C209" s="51">
        <f ca="1">_xlfn.NORM.INV(Table14[[#This Row],[Random '# for LT Demand]],Expected_LT_Demand,$F$8)*1000</f>
        <v>1886123.4953807709</v>
      </c>
      <c r="D209">
        <f t="shared" ca="1" si="6"/>
        <v>0.14156359933846718</v>
      </c>
      <c r="E209" s="55">
        <f ca="1">VLOOKUP(Table14[[#This Row],[Random '# for Share ]],$E$16:$F$21,2,TRUE)</f>
        <v>0.3</v>
      </c>
      <c r="F209" s="56">
        <f ca="1">Table14[[#This Row],[Lead Time Demand]]*Table14[[#This Row],[Share % 
(based on 
Random '#)]]</f>
        <v>565837.04861423129</v>
      </c>
      <c r="G209" s="124">
        <f ca="1">Table14[[#This Row],[Share of Lead Time Demand (Units)]]*Unit_price</f>
        <v>4526696.3889138503</v>
      </c>
      <c r="H209" s="125">
        <f ca="1">Table14[[#This Row],[Share of Lead Time Demand (Units)]]*Unit_cost</f>
        <v>2263348.1944569252</v>
      </c>
      <c r="I209" s="125">
        <f ca="1">Table14[[#This Row],[Revenue]]-Table14[[#This Row],[Costs]]</f>
        <v>2263348.1944569252</v>
      </c>
    </row>
    <row r="210" spans="1:9">
      <c r="A210">
        <v>182</v>
      </c>
      <c r="B210">
        <f t="shared" ca="1" si="5"/>
        <v>0.60392163746769556</v>
      </c>
      <c r="C210" s="51">
        <f ca="1">_xlfn.NORM.INV(Table14[[#This Row],[Random '# for LT Demand]],Expected_LT_Demand,$F$8)*1000</f>
        <v>1933317.6139524214</v>
      </c>
      <c r="D210">
        <f t="shared" ca="1" si="6"/>
        <v>0.91178991660184416</v>
      </c>
      <c r="E210" s="55">
        <f ca="1">VLOOKUP(Table14[[#This Row],[Random '# for Share ]],$E$16:$F$21,2,TRUE)</f>
        <v>0.7</v>
      </c>
      <c r="F210" s="56">
        <f ca="1">Table14[[#This Row],[Lead Time Demand]]*Table14[[#This Row],[Share % 
(based on 
Random '#)]]</f>
        <v>1353322.3297666949</v>
      </c>
      <c r="G210" s="124">
        <f ca="1">Table14[[#This Row],[Share of Lead Time Demand (Units)]]*Unit_price</f>
        <v>10826578.638133559</v>
      </c>
      <c r="H210" s="125">
        <f ca="1">Table14[[#This Row],[Share of Lead Time Demand (Units)]]*Unit_cost</f>
        <v>5413289.3190667797</v>
      </c>
      <c r="I210" s="125">
        <f ca="1">Table14[[#This Row],[Revenue]]-Table14[[#This Row],[Costs]]</f>
        <v>5413289.3190667797</v>
      </c>
    </row>
    <row r="211" spans="1:9">
      <c r="A211">
        <v>183</v>
      </c>
      <c r="B211">
        <f t="shared" ca="1" si="5"/>
        <v>0.92698442204209452</v>
      </c>
      <c r="C211" s="51">
        <f ca="1">_xlfn.NORM.INV(Table14[[#This Row],[Random '# for LT Demand]],Expected_LT_Demand,$F$8)*1000</f>
        <v>2078019.4537224448</v>
      </c>
      <c r="D211">
        <f t="shared" ca="1" si="6"/>
        <v>0.98004867529882311</v>
      </c>
      <c r="E211" s="55">
        <f ca="1">VLOOKUP(Table14[[#This Row],[Random '# for Share ]],$E$16:$F$21,2,TRUE)</f>
        <v>0.7</v>
      </c>
      <c r="F211" s="56">
        <f ca="1">Table14[[#This Row],[Lead Time Demand]]*Table14[[#This Row],[Share % 
(based on 
Random '#)]]</f>
        <v>1454613.6176057113</v>
      </c>
      <c r="G211" s="124">
        <f ca="1">Table14[[#This Row],[Share of Lead Time Demand (Units)]]*Unit_price</f>
        <v>11636908.940845691</v>
      </c>
      <c r="H211" s="125">
        <f ca="1">Table14[[#This Row],[Share of Lead Time Demand (Units)]]*Unit_cost</f>
        <v>5818454.4704228453</v>
      </c>
      <c r="I211" s="125">
        <f ca="1">Table14[[#This Row],[Revenue]]-Table14[[#This Row],[Costs]]</f>
        <v>5818454.4704228453</v>
      </c>
    </row>
    <row r="212" spans="1:9">
      <c r="A212">
        <v>184</v>
      </c>
      <c r="B212">
        <f t="shared" ca="1" si="5"/>
        <v>0.99106561283334471</v>
      </c>
      <c r="C212" s="51">
        <f ca="1">_xlfn.NORM.INV(Table14[[#This Row],[Random '# for LT Demand]],Expected_LT_Demand,$F$8)*1000</f>
        <v>2189219.9640044938</v>
      </c>
      <c r="D212">
        <f t="shared" ca="1" si="6"/>
        <v>0.52250111527634802</v>
      </c>
      <c r="E212" s="55">
        <f ca="1">VLOOKUP(Table14[[#This Row],[Random '# for Share ]],$E$16:$F$21,2,TRUE)</f>
        <v>0.6</v>
      </c>
      <c r="F212" s="56">
        <f ca="1">Table14[[#This Row],[Lead Time Demand]]*Table14[[#This Row],[Share % 
(based on 
Random '#)]]</f>
        <v>1313531.9784026963</v>
      </c>
      <c r="G212" s="124">
        <f ca="1">Table14[[#This Row],[Share of Lead Time Demand (Units)]]*Unit_price</f>
        <v>10508255.827221571</v>
      </c>
      <c r="H212" s="125">
        <f ca="1">Table14[[#This Row],[Share of Lead Time Demand (Units)]]*Unit_cost</f>
        <v>5254127.9136107853</v>
      </c>
      <c r="I212" s="125">
        <f ca="1">Table14[[#This Row],[Revenue]]-Table14[[#This Row],[Costs]]</f>
        <v>5254127.9136107853</v>
      </c>
    </row>
    <row r="213" spans="1:9">
      <c r="A213">
        <v>185</v>
      </c>
      <c r="B213">
        <f t="shared" ca="1" si="5"/>
        <v>0.88787809474203416</v>
      </c>
      <c r="C213" s="51">
        <f ca="1">_xlfn.NORM.INV(Table14[[#This Row],[Random '# for LT Demand]],Expected_LT_Demand,$F$8)*1000</f>
        <v>2049038.143622478</v>
      </c>
      <c r="D213">
        <f t="shared" ca="1" si="6"/>
        <v>0.92474619720026252</v>
      </c>
      <c r="E213" s="55">
        <f ca="1">VLOOKUP(Table14[[#This Row],[Random '# for Share ]],$E$16:$F$21,2,TRUE)</f>
        <v>0.7</v>
      </c>
      <c r="F213" s="56">
        <f ca="1">Table14[[#This Row],[Lead Time Demand]]*Table14[[#This Row],[Share % 
(based on 
Random '#)]]</f>
        <v>1434326.7005357344</v>
      </c>
      <c r="G213" s="124">
        <f ca="1">Table14[[#This Row],[Share of Lead Time Demand (Units)]]*Unit_price</f>
        <v>11474613.604285875</v>
      </c>
      <c r="H213" s="125">
        <f ca="1">Table14[[#This Row],[Share of Lead Time Demand (Units)]]*Unit_cost</f>
        <v>5737306.8021429377</v>
      </c>
      <c r="I213" s="125">
        <f ca="1">Table14[[#This Row],[Revenue]]-Table14[[#This Row],[Costs]]</f>
        <v>5737306.8021429377</v>
      </c>
    </row>
    <row r="214" spans="1:9">
      <c r="A214">
        <v>186</v>
      </c>
      <c r="B214">
        <f t="shared" ca="1" si="5"/>
        <v>8.7995606671672166E-2</v>
      </c>
      <c r="C214" s="51">
        <f ca="1">_xlfn.NORM.INV(Table14[[#This Row],[Random '# for LT Demand]],Expected_LT_Demand,$F$8)*1000</f>
        <v>1736758.5117965199</v>
      </c>
      <c r="D214">
        <f t="shared" ca="1" si="6"/>
        <v>0.30764505518176866</v>
      </c>
      <c r="E214" s="55">
        <f ca="1">VLOOKUP(Table14[[#This Row],[Random '# for Share ]],$E$16:$F$21,2,TRUE)</f>
        <v>0.5</v>
      </c>
      <c r="F214" s="56">
        <f ca="1">Table14[[#This Row],[Lead Time Demand]]*Table14[[#This Row],[Share % 
(based on 
Random '#)]]</f>
        <v>868379.25589825993</v>
      </c>
      <c r="G214" s="124">
        <f ca="1">Table14[[#This Row],[Share of Lead Time Demand (Units)]]*Unit_price</f>
        <v>6947034.0471860794</v>
      </c>
      <c r="H214" s="125">
        <f ca="1">Table14[[#This Row],[Share of Lead Time Demand (Units)]]*Unit_cost</f>
        <v>3473517.0235930397</v>
      </c>
      <c r="I214" s="125">
        <f ca="1">Table14[[#This Row],[Revenue]]-Table14[[#This Row],[Costs]]</f>
        <v>3473517.0235930397</v>
      </c>
    </row>
    <row r="215" spans="1:9">
      <c r="A215">
        <v>187</v>
      </c>
      <c r="B215">
        <f t="shared" ca="1" si="5"/>
        <v>0.61455430781724962</v>
      </c>
      <c r="C215" s="51">
        <f ca="1">_xlfn.NORM.INV(Table14[[#This Row],[Random '# for LT Demand]],Expected_LT_Demand,$F$8)*1000</f>
        <v>1936685.1344323559</v>
      </c>
      <c r="D215">
        <f t="shared" ca="1" si="6"/>
        <v>0.90324187364114994</v>
      </c>
      <c r="E215" s="55">
        <f ca="1">VLOOKUP(Table14[[#This Row],[Random '# for Share ]],$E$16:$F$21,2,TRUE)</f>
        <v>0.7</v>
      </c>
      <c r="F215" s="56">
        <f ca="1">Table14[[#This Row],[Lead Time Demand]]*Table14[[#This Row],[Share % 
(based on 
Random '#)]]</f>
        <v>1355679.594102649</v>
      </c>
      <c r="G215" s="124">
        <f ca="1">Table14[[#This Row],[Share of Lead Time Demand (Units)]]*Unit_price</f>
        <v>10845436.752821192</v>
      </c>
      <c r="H215" s="125">
        <f ca="1">Table14[[#This Row],[Share of Lead Time Demand (Units)]]*Unit_cost</f>
        <v>5422718.3764105961</v>
      </c>
      <c r="I215" s="125">
        <f ca="1">Table14[[#This Row],[Revenue]]-Table14[[#This Row],[Costs]]</f>
        <v>5422718.3764105961</v>
      </c>
    </row>
    <row r="216" spans="1:9">
      <c r="A216">
        <v>188</v>
      </c>
      <c r="B216">
        <f t="shared" ca="1" si="5"/>
        <v>0.51126114914288778</v>
      </c>
      <c r="C216" s="51">
        <f ca="1">_xlfn.NORM.INV(Table14[[#This Row],[Random '# for LT Demand]],Expected_LT_Demand,$F$8)*1000</f>
        <v>1904712.4207198261</v>
      </c>
      <c r="D216">
        <f t="shared" ca="1" si="6"/>
        <v>0.97020995934161214</v>
      </c>
      <c r="E216" s="55">
        <f ca="1">VLOOKUP(Table14[[#This Row],[Random '# for Share ]],$E$16:$F$21,2,TRUE)</f>
        <v>0.7</v>
      </c>
      <c r="F216" s="56">
        <f ca="1">Table14[[#This Row],[Lead Time Demand]]*Table14[[#This Row],[Share % 
(based on 
Random '#)]]</f>
        <v>1333298.6945038782</v>
      </c>
      <c r="G216" s="124">
        <f ca="1">Table14[[#This Row],[Share of Lead Time Demand (Units)]]*Unit_price</f>
        <v>10666389.556031026</v>
      </c>
      <c r="H216" s="125">
        <f ca="1">Table14[[#This Row],[Share of Lead Time Demand (Units)]]*Unit_cost</f>
        <v>5333194.778015513</v>
      </c>
      <c r="I216" s="125">
        <f ca="1">Table14[[#This Row],[Revenue]]-Table14[[#This Row],[Costs]]</f>
        <v>5333194.778015513</v>
      </c>
    </row>
    <row r="217" spans="1:9">
      <c r="A217">
        <v>189</v>
      </c>
      <c r="B217">
        <f t="shared" ca="1" si="5"/>
        <v>0.23945640405577018</v>
      </c>
      <c r="C217" s="51">
        <f ca="1">_xlfn.NORM.INV(Table14[[#This Row],[Random '# for LT Demand]],Expected_LT_Demand,$F$8)*1000</f>
        <v>1815195.4471660624</v>
      </c>
      <c r="D217">
        <f t="shared" ca="1" si="6"/>
        <v>0.77407345693701168</v>
      </c>
      <c r="E217" s="55">
        <f ca="1">VLOOKUP(Table14[[#This Row],[Random '# for Share ]],$E$16:$F$21,2,TRUE)</f>
        <v>0.7</v>
      </c>
      <c r="F217" s="56">
        <f ca="1">Table14[[#This Row],[Lead Time Demand]]*Table14[[#This Row],[Share % 
(based on 
Random '#)]]</f>
        <v>1270636.8130162435</v>
      </c>
      <c r="G217" s="124">
        <f ca="1">Table14[[#This Row],[Share of Lead Time Demand (Units)]]*Unit_price</f>
        <v>10165094.504129948</v>
      </c>
      <c r="H217" s="125">
        <f ca="1">Table14[[#This Row],[Share of Lead Time Demand (Units)]]*Unit_cost</f>
        <v>5082547.252064974</v>
      </c>
      <c r="I217" s="125">
        <f ca="1">Table14[[#This Row],[Revenue]]-Table14[[#This Row],[Costs]]</f>
        <v>5082547.252064974</v>
      </c>
    </row>
    <row r="218" spans="1:9">
      <c r="A218">
        <v>190</v>
      </c>
      <c r="B218">
        <f t="shared" ca="1" si="5"/>
        <v>0.97250512261593092</v>
      </c>
      <c r="C218" s="51">
        <f ca="1">_xlfn.NORM.INV(Table14[[#This Row],[Random '# for LT Demand]],Expected_LT_Demand,$F$8)*1000</f>
        <v>2134585.9087704509</v>
      </c>
      <c r="D218">
        <f t="shared" ca="1" si="6"/>
        <v>0.32906487632413939</v>
      </c>
      <c r="E218" s="55">
        <f ca="1">VLOOKUP(Table14[[#This Row],[Random '# for Share ]],$E$16:$F$21,2,TRUE)</f>
        <v>0.5</v>
      </c>
      <c r="F218" s="56">
        <f ca="1">Table14[[#This Row],[Lead Time Demand]]*Table14[[#This Row],[Share % 
(based on 
Random '#)]]</f>
        <v>1067292.9543852254</v>
      </c>
      <c r="G218" s="124">
        <f ca="1">Table14[[#This Row],[Share of Lead Time Demand (Units)]]*Unit_price</f>
        <v>8538343.6350818034</v>
      </c>
      <c r="H218" s="125">
        <f ca="1">Table14[[#This Row],[Share of Lead Time Demand (Units)]]*Unit_cost</f>
        <v>4269171.8175409017</v>
      </c>
      <c r="I218" s="125">
        <f ca="1">Table14[[#This Row],[Revenue]]-Table14[[#This Row],[Costs]]</f>
        <v>4269171.8175409017</v>
      </c>
    </row>
    <row r="219" spans="1:9">
      <c r="A219">
        <v>191</v>
      </c>
      <c r="B219">
        <f t="shared" ca="1" si="5"/>
        <v>0.75208640272926697</v>
      </c>
      <c r="C219" s="51">
        <f ca="1">_xlfn.NORM.INV(Table14[[#This Row],[Random '# for LT Demand]],Expected_LT_Demand,$F$8)*1000</f>
        <v>1984084.2209969233</v>
      </c>
      <c r="D219">
        <f t="shared" ca="1" si="6"/>
        <v>0.58181126353207957</v>
      </c>
      <c r="E219" s="55">
        <f ca="1">VLOOKUP(Table14[[#This Row],[Random '# for Share ]],$E$16:$F$21,2,TRUE)</f>
        <v>0.6</v>
      </c>
      <c r="F219" s="56">
        <f ca="1">Table14[[#This Row],[Lead Time Demand]]*Table14[[#This Row],[Share % 
(based on 
Random '#)]]</f>
        <v>1190450.5325981539</v>
      </c>
      <c r="G219" s="124">
        <f ca="1">Table14[[#This Row],[Share of Lead Time Demand (Units)]]*Unit_price</f>
        <v>9523604.2607852314</v>
      </c>
      <c r="H219" s="125">
        <f ca="1">Table14[[#This Row],[Share of Lead Time Demand (Units)]]*Unit_cost</f>
        <v>4761802.1303926157</v>
      </c>
      <c r="I219" s="125">
        <f ca="1">Table14[[#This Row],[Revenue]]-Table14[[#This Row],[Costs]]</f>
        <v>4761802.1303926157</v>
      </c>
    </row>
    <row r="220" spans="1:9">
      <c r="A220">
        <v>192</v>
      </c>
      <c r="B220">
        <f t="shared" ca="1" si="5"/>
        <v>0.98651510592959946</v>
      </c>
      <c r="C220" s="51">
        <f ca="1">_xlfn.NORM.INV(Table14[[#This Row],[Random '# for LT Demand]],Expected_LT_Demand,$F$8)*1000</f>
        <v>2170208.4111650749</v>
      </c>
      <c r="D220">
        <f t="shared" ca="1" si="6"/>
        <v>0.99714914852725112</v>
      </c>
      <c r="E220" s="55">
        <f ca="1">VLOOKUP(Table14[[#This Row],[Random '# for Share ]],$E$16:$F$21,2,TRUE)</f>
        <v>0.7</v>
      </c>
      <c r="F220" s="56">
        <f ca="1">Table14[[#This Row],[Lead Time Demand]]*Table14[[#This Row],[Share % 
(based on 
Random '#)]]</f>
        <v>1519145.8878155523</v>
      </c>
      <c r="G220" s="124">
        <f ca="1">Table14[[#This Row],[Share of Lead Time Demand (Units)]]*Unit_price</f>
        <v>12153167.102524418</v>
      </c>
      <c r="H220" s="125">
        <f ca="1">Table14[[#This Row],[Share of Lead Time Demand (Units)]]*Unit_cost</f>
        <v>6076583.5512622092</v>
      </c>
      <c r="I220" s="125">
        <f ca="1">Table14[[#This Row],[Revenue]]-Table14[[#This Row],[Costs]]</f>
        <v>6076583.5512622092</v>
      </c>
    </row>
    <row r="221" spans="1:9">
      <c r="A221">
        <v>193</v>
      </c>
      <c r="B221">
        <f t="shared" ref="B221:B278" ca="1" si="7">RAND()</f>
        <v>7.4578608138128444E-2</v>
      </c>
      <c r="C221" s="51">
        <f ca="1">_xlfn.NORM.INV(Table14[[#This Row],[Random '# for LT Demand]],Expected_LT_Demand,$F$8)*1000</f>
        <v>1725899.8738389306</v>
      </c>
      <c r="D221">
        <f t="shared" ref="D221:D278" ca="1" si="8">RAND()</f>
        <v>0.50779455435057552</v>
      </c>
      <c r="E221" s="55">
        <f ca="1">VLOOKUP(Table14[[#This Row],[Random '# for Share ]],$E$16:$F$21,2,TRUE)</f>
        <v>0.6</v>
      </c>
      <c r="F221" s="56">
        <f ca="1">Table14[[#This Row],[Lead Time Demand]]*Table14[[#This Row],[Share % 
(based on 
Random '#)]]</f>
        <v>1035539.9243033583</v>
      </c>
      <c r="G221" s="124">
        <f ca="1">Table14[[#This Row],[Share of Lead Time Demand (Units)]]*Unit_price</f>
        <v>8284319.3944268664</v>
      </c>
      <c r="H221" s="125">
        <f ca="1">Table14[[#This Row],[Share of Lead Time Demand (Units)]]*Unit_cost</f>
        <v>4142159.6972134332</v>
      </c>
      <c r="I221" s="125">
        <f ca="1">Table14[[#This Row],[Revenue]]-Table14[[#This Row],[Costs]]</f>
        <v>4142159.6972134332</v>
      </c>
    </row>
    <row r="222" spans="1:9">
      <c r="A222">
        <v>194</v>
      </c>
      <c r="B222">
        <f t="shared" ca="1" si="7"/>
        <v>6.2686451891906914E-2</v>
      </c>
      <c r="C222" s="51">
        <f ca="1">_xlfn.NORM.INV(Table14[[#This Row],[Random '# for LT Demand]],Expected_LT_Demand,$F$8)*1000</f>
        <v>1714946.5957509016</v>
      </c>
      <c r="D222">
        <f t="shared" ca="1" si="8"/>
        <v>0.9436109544946446</v>
      </c>
      <c r="E222" s="55">
        <f ca="1">VLOOKUP(Table14[[#This Row],[Random '# for Share ]],$E$16:$F$21,2,TRUE)</f>
        <v>0.7</v>
      </c>
      <c r="F222" s="56">
        <f ca="1">Table14[[#This Row],[Lead Time Demand]]*Table14[[#This Row],[Share % 
(based on 
Random '#)]]</f>
        <v>1200462.617025631</v>
      </c>
      <c r="G222" s="124">
        <f ca="1">Table14[[#This Row],[Share of Lead Time Demand (Units)]]*Unit_price</f>
        <v>9603700.9362050481</v>
      </c>
      <c r="H222" s="125">
        <f ca="1">Table14[[#This Row],[Share of Lead Time Demand (Units)]]*Unit_cost</f>
        <v>4801850.4681025241</v>
      </c>
      <c r="I222" s="125">
        <f ca="1">Table14[[#This Row],[Revenue]]-Table14[[#This Row],[Costs]]</f>
        <v>4801850.4681025241</v>
      </c>
    </row>
    <row r="223" spans="1:9">
      <c r="A223">
        <v>195</v>
      </c>
      <c r="B223">
        <f t="shared" ca="1" si="7"/>
        <v>0.712378772062643</v>
      </c>
      <c r="C223" s="51">
        <f ca="1">_xlfn.NORM.INV(Table14[[#This Row],[Random '# for LT Demand]],Expected_LT_Demand,$F$8)*1000</f>
        <v>1969406.8365089397</v>
      </c>
      <c r="D223">
        <f t="shared" ca="1" si="8"/>
        <v>0.29744158133263698</v>
      </c>
      <c r="E223" s="55">
        <f ca="1">VLOOKUP(Table14[[#This Row],[Random '# for Share ]],$E$16:$F$21,2,TRUE)</f>
        <v>0.4</v>
      </c>
      <c r="F223" s="56">
        <f ca="1">Table14[[#This Row],[Lead Time Demand]]*Table14[[#This Row],[Share % 
(based on 
Random '#)]]</f>
        <v>787762.7346035759</v>
      </c>
      <c r="G223" s="124">
        <f ca="1">Table14[[#This Row],[Share of Lead Time Demand (Units)]]*Unit_price</f>
        <v>6302101.8768286072</v>
      </c>
      <c r="H223" s="125">
        <f ca="1">Table14[[#This Row],[Share of Lead Time Demand (Units)]]*Unit_cost</f>
        <v>3151050.9384143036</v>
      </c>
      <c r="I223" s="125">
        <f ca="1">Table14[[#This Row],[Revenue]]-Table14[[#This Row],[Costs]]</f>
        <v>3151050.9384143036</v>
      </c>
    </row>
    <row r="224" spans="1:9">
      <c r="A224">
        <v>196</v>
      </c>
      <c r="B224">
        <f t="shared" ca="1" si="7"/>
        <v>0.94340241789107537</v>
      </c>
      <c r="C224" s="51">
        <f ca="1">_xlfn.NORM.INV(Table14[[#This Row],[Random '# for LT Demand]],Expected_LT_Demand,$F$8)*1000</f>
        <v>2093861.2156266649</v>
      </c>
      <c r="D224">
        <f t="shared" ca="1" si="8"/>
        <v>0.88509168397174354</v>
      </c>
      <c r="E224" s="55">
        <f ca="1">VLOOKUP(Table14[[#This Row],[Random '# for Share ]],$E$16:$F$21,2,TRUE)</f>
        <v>0.7</v>
      </c>
      <c r="F224" s="56">
        <f ca="1">Table14[[#This Row],[Lead Time Demand]]*Table14[[#This Row],[Share % 
(based on 
Random '#)]]</f>
        <v>1465702.8509386654</v>
      </c>
      <c r="G224" s="124">
        <f ca="1">Table14[[#This Row],[Share of Lead Time Demand (Units)]]*Unit_price</f>
        <v>11725622.807509324</v>
      </c>
      <c r="H224" s="125">
        <f ca="1">Table14[[#This Row],[Share of Lead Time Demand (Units)]]*Unit_cost</f>
        <v>5862811.4037546618</v>
      </c>
      <c r="I224" s="125">
        <f ca="1">Table14[[#This Row],[Revenue]]-Table14[[#This Row],[Costs]]</f>
        <v>5862811.4037546618</v>
      </c>
    </row>
    <row r="225" spans="1:9">
      <c r="A225">
        <v>197</v>
      </c>
      <c r="B225">
        <f t="shared" ca="1" si="7"/>
        <v>0.65346931471782044</v>
      </c>
      <c r="C225" s="51">
        <f ca="1">_xlfn.NORM.INV(Table14[[#This Row],[Random '# for LT Demand]],Expected_LT_Demand,$F$8)*1000</f>
        <v>1949267.985106647</v>
      </c>
      <c r="D225">
        <f t="shared" ca="1" si="8"/>
        <v>0.819437811021269</v>
      </c>
      <c r="E225" s="55">
        <f ca="1">VLOOKUP(Table14[[#This Row],[Random '# for Share ]],$E$16:$F$21,2,TRUE)</f>
        <v>0.7</v>
      </c>
      <c r="F225" s="56">
        <f ca="1">Table14[[#This Row],[Lead Time Demand]]*Table14[[#This Row],[Share % 
(based on 
Random '#)]]</f>
        <v>1364487.5895746527</v>
      </c>
      <c r="G225" s="124">
        <f ca="1">Table14[[#This Row],[Share of Lead Time Demand (Units)]]*Unit_price</f>
        <v>10915900.716597222</v>
      </c>
      <c r="H225" s="125">
        <f ca="1">Table14[[#This Row],[Share of Lead Time Demand (Units)]]*Unit_cost</f>
        <v>5457950.3582986109</v>
      </c>
      <c r="I225" s="125">
        <f ca="1">Table14[[#This Row],[Revenue]]-Table14[[#This Row],[Costs]]</f>
        <v>5457950.3582986109</v>
      </c>
    </row>
    <row r="226" spans="1:9">
      <c r="A226">
        <v>198</v>
      </c>
      <c r="B226">
        <f t="shared" ca="1" si="7"/>
        <v>0.66412958505243913</v>
      </c>
      <c r="C226" s="51">
        <f ca="1">_xlfn.NORM.INV(Table14[[#This Row],[Random '# for LT Demand]],Expected_LT_Demand,$F$8)*1000</f>
        <v>1952800.6058243304</v>
      </c>
      <c r="D226">
        <f t="shared" ca="1" si="8"/>
        <v>0.21845960958297184</v>
      </c>
      <c r="E226" s="55">
        <f ca="1">VLOOKUP(Table14[[#This Row],[Random '# for Share ]],$E$16:$F$21,2,TRUE)</f>
        <v>0.4</v>
      </c>
      <c r="F226" s="56">
        <f ca="1">Table14[[#This Row],[Lead Time Demand]]*Table14[[#This Row],[Share % 
(based on 
Random '#)]]</f>
        <v>781120.24232973217</v>
      </c>
      <c r="G226" s="124">
        <f ca="1">Table14[[#This Row],[Share of Lead Time Demand (Units)]]*Unit_price</f>
        <v>6248961.9386378573</v>
      </c>
      <c r="H226" s="125">
        <f ca="1">Table14[[#This Row],[Share of Lead Time Demand (Units)]]*Unit_cost</f>
        <v>3124480.9693189287</v>
      </c>
      <c r="I226" s="125">
        <f ca="1">Table14[[#This Row],[Revenue]]-Table14[[#This Row],[Costs]]</f>
        <v>3124480.9693189287</v>
      </c>
    </row>
    <row r="227" spans="1:9">
      <c r="A227">
        <v>199</v>
      </c>
      <c r="B227">
        <f t="shared" ca="1" si="7"/>
        <v>0.13232268089695198</v>
      </c>
      <c r="C227" s="51">
        <f ca="1">_xlfn.NORM.INV(Table14[[#This Row],[Random '# for LT Demand]],Expected_LT_Demand,$F$8)*1000</f>
        <v>1765660.7542127501</v>
      </c>
      <c r="D227">
        <f t="shared" ca="1" si="8"/>
        <v>0.78325320867816517</v>
      </c>
      <c r="E227" s="55">
        <f ca="1">VLOOKUP(Table14[[#This Row],[Random '# for Share ]],$E$16:$F$21,2,TRUE)</f>
        <v>0.7</v>
      </c>
      <c r="F227" s="56">
        <f ca="1">Table14[[#This Row],[Lead Time Demand]]*Table14[[#This Row],[Share % 
(based on 
Random '#)]]</f>
        <v>1235962.527948925</v>
      </c>
      <c r="G227" s="124">
        <f ca="1">Table14[[#This Row],[Share of Lead Time Demand (Units)]]*Unit_price</f>
        <v>9887700.2235914003</v>
      </c>
      <c r="H227" s="125">
        <f ca="1">Table14[[#This Row],[Share of Lead Time Demand (Units)]]*Unit_cost</f>
        <v>4943850.1117957002</v>
      </c>
      <c r="I227" s="125">
        <f ca="1">Table14[[#This Row],[Revenue]]-Table14[[#This Row],[Costs]]</f>
        <v>4943850.1117957002</v>
      </c>
    </row>
    <row r="228" spans="1:9">
      <c r="A228">
        <v>200</v>
      </c>
      <c r="B228">
        <f t="shared" ca="1" si="7"/>
        <v>0.51313490361959779</v>
      </c>
      <c r="C228" s="51">
        <f ca="1">_xlfn.NORM.INV(Table14[[#This Row],[Random '# for LT Demand]],Expected_LT_Demand,$F$8)*1000</f>
        <v>1905283.7235834955</v>
      </c>
      <c r="D228">
        <f t="shared" ca="1" si="8"/>
        <v>0.16505929371736383</v>
      </c>
      <c r="E228" s="55">
        <f ca="1">VLOOKUP(Table14[[#This Row],[Random '# for Share ]],$E$16:$F$21,2,TRUE)</f>
        <v>0.4</v>
      </c>
      <c r="F228" s="56">
        <f ca="1">Table14[[#This Row],[Lead Time Demand]]*Table14[[#This Row],[Share % 
(based on 
Random '#)]]</f>
        <v>762113.48943339824</v>
      </c>
      <c r="G228" s="124">
        <f ca="1">Table14[[#This Row],[Share of Lead Time Demand (Units)]]*Unit_price</f>
        <v>6096907.9154671859</v>
      </c>
      <c r="H228" s="125">
        <f ca="1">Table14[[#This Row],[Share of Lead Time Demand (Units)]]*Unit_cost</f>
        <v>3048453.9577335929</v>
      </c>
      <c r="I228" s="125">
        <f ca="1">Table14[[#This Row],[Revenue]]-Table14[[#This Row],[Costs]]</f>
        <v>3048453.9577335929</v>
      </c>
    </row>
    <row r="229" spans="1:9">
      <c r="A229">
        <v>201</v>
      </c>
      <c r="B229">
        <f t="shared" ca="1" si="7"/>
        <v>0.17635474848967059</v>
      </c>
      <c r="C229" s="51">
        <f ca="1">_xlfn.NORM.INV(Table14[[#This Row],[Random '# for LT Demand]],Expected_LT_Demand,$F$8)*1000</f>
        <v>1788290.5949089865</v>
      </c>
      <c r="D229">
        <f t="shared" ca="1" si="8"/>
        <v>0.21918176234769504</v>
      </c>
      <c r="E229" s="55">
        <f ca="1">VLOOKUP(Table14[[#This Row],[Random '# for Share ]],$E$16:$F$21,2,TRUE)</f>
        <v>0.4</v>
      </c>
      <c r="F229" s="56">
        <f ca="1">Table14[[#This Row],[Lead Time Demand]]*Table14[[#This Row],[Share % 
(based on 
Random '#)]]</f>
        <v>715316.23796359461</v>
      </c>
      <c r="G229" s="124">
        <f ca="1">Table14[[#This Row],[Share of Lead Time Demand (Units)]]*Unit_price</f>
        <v>5722529.9037087569</v>
      </c>
      <c r="H229" s="125">
        <f ca="1">Table14[[#This Row],[Share of Lead Time Demand (Units)]]*Unit_cost</f>
        <v>2861264.9518543785</v>
      </c>
      <c r="I229" s="125">
        <f ca="1">Table14[[#This Row],[Revenue]]-Table14[[#This Row],[Costs]]</f>
        <v>2861264.9518543785</v>
      </c>
    </row>
    <row r="230" spans="1:9">
      <c r="A230">
        <v>202</v>
      </c>
      <c r="B230">
        <f t="shared" ca="1" si="7"/>
        <v>0.64168703941271943</v>
      </c>
      <c r="C230" s="51">
        <f ca="1">_xlfn.NORM.INV(Table14[[#This Row],[Random '# for LT Demand]],Expected_LT_Demand,$F$8)*1000</f>
        <v>1945410.0084989297</v>
      </c>
      <c r="D230">
        <f t="shared" ca="1" si="8"/>
        <v>0.19922920747630568</v>
      </c>
      <c r="E230" s="55">
        <f ca="1">VLOOKUP(Table14[[#This Row],[Random '# for Share ]],$E$16:$F$21,2,TRUE)</f>
        <v>0.4</v>
      </c>
      <c r="F230" s="56">
        <f ca="1">Table14[[#This Row],[Lead Time Demand]]*Table14[[#This Row],[Share % 
(based on 
Random '#)]]</f>
        <v>778164.00339957187</v>
      </c>
      <c r="G230" s="124">
        <f ca="1">Table14[[#This Row],[Share of Lead Time Demand (Units)]]*Unit_price</f>
        <v>6225312.027196575</v>
      </c>
      <c r="H230" s="125">
        <f ca="1">Table14[[#This Row],[Share of Lead Time Demand (Units)]]*Unit_cost</f>
        <v>3112656.0135982875</v>
      </c>
      <c r="I230" s="125">
        <f ca="1">Table14[[#This Row],[Revenue]]-Table14[[#This Row],[Costs]]</f>
        <v>3112656.0135982875</v>
      </c>
    </row>
    <row r="231" spans="1:9">
      <c r="A231">
        <v>203</v>
      </c>
      <c r="B231">
        <f t="shared" ca="1" si="7"/>
        <v>6.4251455842811778E-2</v>
      </c>
      <c r="C231" s="51">
        <f ca="1">_xlfn.NORM.INV(Table14[[#This Row],[Random '# for LT Demand]],Expected_LT_Demand,$F$8)*1000</f>
        <v>1716475.3546197829</v>
      </c>
      <c r="D231">
        <f t="shared" ca="1" si="8"/>
        <v>0.75331915986915565</v>
      </c>
      <c r="E231" s="55">
        <f ca="1">VLOOKUP(Table14[[#This Row],[Random '# for Share ]],$E$16:$F$21,2,TRUE)</f>
        <v>0.7</v>
      </c>
      <c r="F231" s="56">
        <f ca="1">Table14[[#This Row],[Lead Time Demand]]*Table14[[#This Row],[Share % 
(based on 
Random '#)]]</f>
        <v>1201532.748233848</v>
      </c>
      <c r="G231" s="124">
        <f ca="1">Table14[[#This Row],[Share of Lead Time Demand (Units)]]*Unit_price</f>
        <v>9612261.9858707841</v>
      </c>
      <c r="H231" s="125">
        <f ca="1">Table14[[#This Row],[Share of Lead Time Demand (Units)]]*Unit_cost</f>
        <v>4806130.9929353921</v>
      </c>
      <c r="I231" s="125">
        <f ca="1">Table14[[#This Row],[Revenue]]-Table14[[#This Row],[Costs]]</f>
        <v>4806130.9929353921</v>
      </c>
    </row>
    <row r="232" spans="1:9">
      <c r="A232">
        <v>204</v>
      </c>
      <c r="B232">
        <f t="shared" ca="1" si="7"/>
        <v>0.74952927549701553</v>
      </c>
      <c r="C232" s="51">
        <f ca="1">_xlfn.NORM.INV(Table14[[#This Row],[Random '# for LT Demand]],Expected_LT_Demand,$F$8)*1000</f>
        <v>1983104.1901633923</v>
      </c>
      <c r="D232">
        <f t="shared" ca="1" si="8"/>
        <v>1.1905234393873143E-2</v>
      </c>
      <c r="E232" s="55">
        <f ca="1">VLOOKUP(Table14[[#This Row],[Random '# for Share ]],$E$16:$F$21,2,TRUE)</f>
        <v>0.2</v>
      </c>
      <c r="F232" s="56">
        <f ca="1">Table14[[#This Row],[Lead Time Demand]]*Table14[[#This Row],[Share % 
(based on 
Random '#)]]</f>
        <v>396620.83803267847</v>
      </c>
      <c r="G232" s="124">
        <f ca="1">Table14[[#This Row],[Share of Lead Time Demand (Units)]]*Unit_price</f>
        <v>3172966.7042614277</v>
      </c>
      <c r="H232" s="125">
        <f ca="1">Table14[[#This Row],[Share of Lead Time Demand (Units)]]*Unit_cost</f>
        <v>1586483.3521307139</v>
      </c>
      <c r="I232" s="125">
        <f ca="1">Table14[[#This Row],[Revenue]]-Table14[[#This Row],[Costs]]</f>
        <v>1586483.3521307139</v>
      </c>
    </row>
    <row r="233" spans="1:9">
      <c r="A233">
        <v>205</v>
      </c>
      <c r="B233">
        <f t="shared" ca="1" si="7"/>
        <v>0.30536835170042276</v>
      </c>
      <c r="C233" s="51">
        <f ca="1">_xlfn.NORM.INV(Table14[[#This Row],[Random '# for LT Demand]],Expected_LT_Demand,$F$8)*1000</f>
        <v>1839393.4263063052</v>
      </c>
      <c r="D233">
        <f t="shared" ca="1" si="8"/>
        <v>0.89921433126435568</v>
      </c>
      <c r="E233" s="55">
        <f ca="1">VLOOKUP(Table14[[#This Row],[Random '# for Share ]],$E$16:$F$21,2,TRUE)</f>
        <v>0.7</v>
      </c>
      <c r="F233" s="56">
        <f ca="1">Table14[[#This Row],[Lead Time Demand]]*Table14[[#This Row],[Share % 
(based on 
Random '#)]]</f>
        <v>1287575.3984144137</v>
      </c>
      <c r="G233" s="124">
        <f ca="1">Table14[[#This Row],[Share of Lead Time Demand (Units)]]*Unit_price</f>
        <v>10300603.187315309</v>
      </c>
      <c r="H233" s="125">
        <f ca="1">Table14[[#This Row],[Share of Lead Time Demand (Units)]]*Unit_cost</f>
        <v>5150301.5936576547</v>
      </c>
      <c r="I233" s="125">
        <f ca="1">Table14[[#This Row],[Revenue]]-Table14[[#This Row],[Costs]]</f>
        <v>5150301.5936576547</v>
      </c>
    </row>
    <row r="234" spans="1:9">
      <c r="A234">
        <v>206</v>
      </c>
      <c r="B234">
        <f t="shared" ca="1" si="7"/>
        <v>0.86782198814800926</v>
      </c>
      <c r="C234" s="51">
        <f ca="1">_xlfn.NORM.INV(Table14[[#This Row],[Random '# for LT Demand]],Expected_LT_Demand,$F$8)*1000</f>
        <v>2036981.5663565085</v>
      </c>
      <c r="D234">
        <f t="shared" ca="1" si="8"/>
        <v>0.18302660957747563</v>
      </c>
      <c r="E234" s="55">
        <f ca="1">VLOOKUP(Table14[[#This Row],[Random '# for Share ]],$E$16:$F$21,2,TRUE)</f>
        <v>0.4</v>
      </c>
      <c r="F234" s="56">
        <f ca="1">Table14[[#This Row],[Lead Time Demand]]*Table14[[#This Row],[Share % 
(based on 
Random '#)]]</f>
        <v>814792.62654260348</v>
      </c>
      <c r="G234" s="124">
        <f ca="1">Table14[[#This Row],[Share of Lead Time Demand (Units)]]*Unit_price</f>
        <v>6518341.0123408278</v>
      </c>
      <c r="H234" s="125">
        <f ca="1">Table14[[#This Row],[Share of Lead Time Demand (Units)]]*Unit_cost</f>
        <v>3259170.5061704139</v>
      </c>
      <c r="I234" s="125">
        <f ca="1">Table14[[#This Row],[Revenue]]-Table14[[#This Row],[Costs]]</f>
        <v>3259170.5061704139</v>
      </c>
    </row>
    <row r="235" spans="1:9">
      <c r="A235">
        <v>207</v>
      </c>
      <c r="B235">
        <f t="shared" ca="1" si="7"/>
        <v>0.28404035354540447</v>
      </c>
      <c r="C235" s="51">
        <f ca="1">_xlfn.NORM.INV(Table14[[#This Row],[Random '# for LT Demand]],Expected_LT_Demand,$F$8)*1000</f>
        <v>1831872.7291071527</v>
      </c>
      <c r="D235">
        <f t="shared" ca="1" si="8"/>
        <v>0.74847159508265504</v>
      </c>
      <c r="E235" s="55">
        <f ca="1">VLOOKUP(Table14[[#This Row],[Random '# for Share ]],$E$16:$F$21,2,TRUE)</f>
        <v>0.6</v>
      </c>
      <c r="F235" s="56">
        <f ca="1">Table14[[#This Row],[Lead Time Demand]]*Table14[[#This Row],[Share % 
(based on 
Random '#)]]</f>
        <v>1099123.6374642916</v>
      </c>
      <c r="G235" s="124">
        <f ca="1">Table14[[#This Row],[Share of Lead Time Demand (Units)]]*Unit_price</f>
        <v>8792989.0997143332</v>
      </c>
      <c r="H235" s="125">
        <f ca="1">Table14[[#This Row],[Share of Lead Time Demand (Units)]]*Unit_cost</f>
        <v>4396494.5498571666</v>
      </c>
      <c r="I235" s="125">
        <f ca="1">Table14[[#This Row],[Revenue]]-Table14[[#This Row],[Costs]]</f>
        <v>4396494.5498571666</v>
      </c>
    </row>
    <row r="236" spans="1:9">
      <c r="A236">
        <v>208</v>
      </c>
      <c r="B236">
        <f t="shared" ca="1" si="7"/>
        <v>0.63782472243817001</v>
      </c>
      <c r="C236" s="51">
        <f ca="1">_xlfn.NORM.INV(Table14[[#This Row],[Random '# for LT Demand]],Expected_LT_Demand,$F$8)*1000</f>
        <v>1944155.1321359533</v>
      </c>
      <c r="D236">
        <f t="shared" ca="1" si="8"/>
        <v>0.72512159593695913</v>
      </c>
      <c r="E236" s="55">
        <f ca="1">VLOOKUP(Table14[[#This Row],[Random '# for Share ]],$E$16:$F$21,2,TRUE)</f>
        <v>0.6</v>
      </c>
      <c r="F236" s="56">
        <f ca="1">Table14[[#This Row],[Lead Time Demand]]*Table14[[#This Row],[Share % 
(based on 
Random '#)]]</f>
        <v>1166493.079281572</v>
      </c>
      <c r="G236" s="124">
        <f ca="1">Table14[[#This Row],[Share of Lead Time Demand (Units)]]*Unit_price</f>
        <v>9331944.6342525762</v>
      </c>
      <c r="H236" s="125">
        <f ca="1">Table14[[#This Row],[Share of Lead Time Demand (Units)]]*Unit_cost</f>
        <v>4665972.3171262881</v>
      </c>
      <c r="I236" s="125">
        <f ca="1">Table14[[#This Row],[Revenue]]-Table14[[#This Row],[Costs]]</f>
        <v>4665972.3171262881</v>
      </c>
    </row>
    <row r="237" spans="1:9">
      <c r="A237">
        <v>209</v>
      </c>
      <c r="B237">
        <f t="shared" ca="1" si="7"/>
        <v>0.17254375004870559</v>
      </c>
      <c r="C237" s="51">
        <f ca="1">_xlfn.NORM.INV(Table14[[#This Row],[Random '# for LT Demand]],Expected_LT_Demand,$F$8)*1000</f>
        <v>1786489.4949084469</v>
      </c>
      <c r="D237">
        <f t="shared" ca="1" si="8"/>
        <v>0.6886844541933701</v>
      </c>
      <c r="E237" s="55">
        <f ca="1">VLOOKUP(Table14[[#This Row],[Random '# for Share ]],$E$16:$F$21,2,TRUE)</f>
        <v>0.6</v>
      </c>
      <c r="F237" s="56">
        <f ca="1">Table14[[#This Row],[Lead Time Demand]]*Table14[[#This Row],[Share % 
(based on 
Random '#)]]</f>
        <v>1071893.6969450682</v>
      </c>
      <c r="G237" s="124">
        <f ca="1">Table14[[#This Row],[Share of Lead Time Demand (Units)]]*Unit_price</f>
        <v>8575149.5755605455</v>
      </c>
      <c r="H237" s="125">
        <f ca="1">Table14[[#This Row],[Share of Lead Time Demand (Units)]]*Unit_cost</f>
        <v>4287574.7877802728</v>
      </c>
      <c r="I237" s="125">
        <f ca="1">Table14[[#This Row],[Revenue]]-Table14[[#This Row],[Costs]]</f>
        <v>4287574.7877802728</v>
      </c>
    </row>
    <row r="238" spans="1:9">
      <c r="A238">
        <v>210</v>
      </c>
      <c r="B238">
        <f t="shared" ca="1" si="7"/>
        <v>0.38213050195587939</v>
      </c>
      <c r="C238" s="51">
        <f ca="1">_xlfn.NORM.INV(Table14[[#This Row],[Random '# for LT Demand]],Expected_LT_Demand,$F$8)*1000</f>
        <v>1864819.5959329195</v>
      </c>
      <c r="D238">
        <f t="shared" ca="1" si="8"/>
        <v>5.7917646003933787E-2</v>
      </c>
      <c r="E238" s="55">
        <f ca="1">VLOOKUP(Table14[[#This Row],[Random '# for Share ]],$E$16:$F$21,2,TRUE)</f>
        <v>0.3</v>
      </c>
      <c r="F238" s="56">
        <f ca="1">Table14[[#This Row],[Lead Time Demand]]*Table14[[#This Row],[Share % 
(based on 
Random '#)]]</f>
        <v>559445.87877987581</v>
      </c>
      <c r="G238" s="124">
        <f ca="1">Table14[[#This Row],[Share of Lead Time Demand (Units)]]*Unit_price</f>
        <v>4475567.0302390065</v>
      </c>
      <c r="H238" s="125">
        <f ca="1">Table14[[#This Row],[Share of Lead Time Demand (Units)]]*Unit_cost</f>
        <v>2237783.5151195033</v>
      </c>
      <c r="I238" s="125">
        <f ca="1">Table14[[#This Row],[Revenue]]-Table14[[#This Row],[Costs]]</f>
        <v>2237783.5151195033</v>
      </c>
    </row>
    <row r="239" spans="1:9">
      <c r="A239">
        <v>211</v>
      </c>
      <c r="B239">
        <f t="shared" ca="1" si="7"/>
        <v>8.4689238284967328E-3</v>
      </c>
      <c r="C239" s="51">
        <f ca="1">_xlfn.NORM.INV(Table14[[#This Row],[Random '# for LT Demand]],Expected_LT_Demand,$F$8)*1000</f>
        <v>1610941.6806862357</v>
      </c>
      <c r="D239">
        <f t="shared" ca="1" si="8"/>
        <v>0.89763205672803548</v>
      </c>
      <c r="E239" s="55">
        <f ca="1">VLOOKUP(Table14[[#This Row],[Random '# for Share ]],$E$16:$F$21,2,TRUE)</f>
        <v>0.7</v>
      </c>
      <c r="F239" s="56">
        <f ca="1">Table14[[#This Row],[Lead Time Demand]]*Table14[[#This Row],[Share % 
(based on 
Random '#)]]</f>
        <v>1127659.176480365</v>
      </c>
      <c r="G239" s="124">
        <f ca="1">Table14[[#This Row],[Share of Lead Time Demand (Units)]]*Unit_price</f>
        <v>9021273.4118429199</v>
      </c>
      <c r="H239" s="125">
        <f ca="1">Table14[[#This Row],[Share of Lead Time Demand (Units)]]*Unit_cost</f>
        <v>4510636.7059214599</v>
      </c>
      <c r="I239" s="125">
        <f ca="1">Table14[[#This Row],[Revenue]]-Table14[[#This Row],[Costs]]</f>
        <v>4510636.7059214599</v>
      </c>
    </row>
    <row r="240" spans="1:9">
      <c r="A240">
        <v>212</v>
      </c>
      <c r="B240">
        <f t="shared" ca="1" si="7"/>
        <v>0.60185388241894999</v>
      </c>
      <c r="C240" s="51">
        <f ca="1">_xlfn.NORM.INV(Table14[[#This Row],[Random '# for LT Demand]],Expected_LT_Demand,$F$8)*1000</f>
        <v>1932665.6511427928</v>
      </c>
      <c r="D240">
        <f t="shared" ca="1" si="8"/>
        <v>0.26683895476785857</v>
      </c>
      <c r="E240" s="55">
        <f ca="1">VLOOKUP(Table14[[#This Row],[Random '# for Share ]],$E$16:$F$21,2,TRUE)</f>
        <v>0.4</v>
      </c>
      <c r="F240" s="56">
        <f ca="1">Table14[[#This Row],[Lead Time Demand]]*Table14[[#This Row],[Share % 
(based on 
Random '#)]]</f>
        <v>773066.26045711711</v>
      </c>
      <c r="G240" s="124">
        <f ca="1">Table14[[#This Row],[Share of Lead Time Demand (Units)]]*Unit_price</f>
        <v>6184530.0836569369</v>
      </c>
      <c r="H240" s="125">
        <f ca="1">Table14[[#This Row],[Share of Lead Time Demand (Units)]]*Unit_cost</f>
        <v>3092265.0418284684</v>
      </c>
      <c r="I240" s="125">
        <f ca="1">Table14[[#This Row],[Revenue]]-Table14[[#This Row],[Costs]]</f>
        <v>3092265.0418284684</v>
      </c>
    </row>
    <row r="241" spans="1:9">
      <c r="A241">
        <v>213</v>
      </c>
      <c r="B241">
        <f t="shared" ca="1" si="7"/>
        <v>8.1058643246852968E-2</v>
      </c>
      <c r="C241" s="51">
        <f ca="1">_xlfn.NORM.INV(Table14[[#This Row],[Random '# for LT Demand]],Expected_LT_Demand,$F$8)*1000</f>
        <v>1731313.66145278</v>
      </c>
      <c r="D241">
        <f t="shared" ca="1" si="8"/>
        <v>0.41409222980775773</v>
      </c>
      <c r="E241" s="55">
        <f ca="1">VLOOKUP(Table14[[#This Row],[Random '# for Share ]],$E$16:$F$21,2,TRUE)</f>
        <v>0.5</v>
      </c>
      <c r="F241" s="56">
        <f ca="1">Table14[[#This Row],[Lead Time Demand]]*Table14[[#This Row],[Share % 
(based on 
Random '#)]]</f>
        <v>865656.83072639001</v>
      </c>
      <c r="G241" s="124">
        <f ca="1">Table14[[#This Row],[Share of Lead Time Demand (Units)]]*Unit_price</f>
        <v>6925254.64581112</v>
      </c>
      <c r="H241" s="125">
        <f ca="1">Table14[[#This Row],[Share of Lead Time Demand (Units)]]*Unit_cost</f>
        <v>3462627.32290556</v>
      </c>
      <c r="I241" s="125">
        <f ca="1">Table14[[#This Row],[Revenue]]-Table14[[#This Row],[Costs]]</f>
        <v>3462627.32290556</v>
      </c>
    </row>
    <row r="242" spans="1:9">
      <c r="A242">
        <v>214</v>
      </c>
      <c r="B242">
        <f t="shared" ca="1" si="7"/>
        <v>0.27674007669585277</v>
      </c>
      <c r="C242" s="51">
        <f ca="1">_xlfn.NORM.INV(Table14[[#This Row],[Random '# for LT Demand]],Expected_LT_Demand,$F$8)*1000</f>
        <v>1829237.7533144865</v>
      </c>
      <c r="D242">
        <f t="shared" ca="1" si="8"/>
        <v>0.4916990030041104</v>
      </c>
      <c r="E242" s="55">
        <f ca="1">VLOOKUP(Table14[[#This Row],[Random '# for Share ]],$E$16:$F$21,2,TRUE)</f>
        <v>0.5</v>
      </c>
      <c r="F242" s="56">
        <f ca="1">Table14[[#This Row],[Lead Time Demand]]*Table14[[#This Row],[Share % 
(based on 
Random '#)]]</f>
        <v>914618.87665724324</v>
      </c>
      <c r="G242" s="124">
        <f ca="1">Table14[[#This Row],[Share of Lead Time Demand (Units)]]*Unit_price</f>
        <v>7316951.0132579459</v>
      </c>
      <c r="H242" s="125">
        <f ca="1">Table14[[#This Row],[Share of Lead Time Demand (Units)]]*Unit_cost</f>
        <v>3658475.5066289729</v>
      </c>
      <c r="I242" s="125">
        <f ca="1">Table14[[#This Row],[Revenue]]-Table14[[#This Row],[Costs]]</f>
        <v>3658475.5066289729</v>
      </c>
    </row>
    <row r="243" spans="1:9">
      <c r="A243">
        <v>215</v>
      </c>
      <c r="B243">
        <f t="shared" ca="1" si="7"/>
        <v>9.4254356994608934E-2</v>
      </c>
      <c r="C243" s="51">
        <f ca="1">_xlfn.NORM.INV(Table14[[#This Row],[Random '# for LT Demand]],Expected_LT_Demand,$F$8)*1000</f>
        <v>1741402.6208015722</v>
      </c>
      <c r="D243">
        <f t="shared" ca="1" si="8"/>
        <v>0.57890182255689548</v>
      </c>
      <c r="E243" s="55">
        <f ca="1">VLOOKUP(Table14[[#This Row],[Random '# for Share ]],$E$16:$F$21,2,TRUE)</f>
        <v>0.6</v>
      </c>
      <c r="F243" s="56">
        <f ca="1">Table14[[#This Row],[Lead Time Demand]]*Table14[[#This Row],[Share % 
(based on 
Random '#)]]</f>
        <v>1044841.5724809433</v>
      </c>
      <c r="G243" s="124">
        <f ca="1">Table14[[#This Row],[Share of Lead Time Demand (Units)]]*Unit_price</f>
        <v>8358732.5798475463</v>
      </c>
      <c r="H243" s="125">
        <f ca="1">Table14[[#This Row],[Share of Lead Time Demand (Units)]]*Unit_cost</f>
        <v>4179366.2899237731</v>
      </c>
      <c r="I243" s="125">
        <f ca="1">Table14[[#This Row],[Revenue]]-Table14[[#This Row],[Costs]]</f>
        <v>4179366.2899237731</v>
      </c>
    </row>
    <row r="244" spans="1:9">
      <c r="A244">
        <v>216</v>
      </c>
      <c r="B244">
        <f t="shared" ca="1" si="7"/>
        <v>2.6998089838856321E-2</v>
      </c>
      <c r="C244" s="51">
        <f ca="1">_xlfn.NORM.INV(Table14[[#This Row],[Random '# for LT Demand]],Expected_LT_Demand,$F$8)*1000</f>
        <v>1667012.5472306577</v>
      </c>
      <c r="D244">
        <f t="shared" ca="1" si="8"/>
        <v>2.0924818598497152E-2</v>
      </c>
      <c r="E244" s="55">
        <f ca="1">VLOOKUP(Table14[[#This Row],[Random '# for Share ]],$E$16:$F$21,2,TRUE)</f>
        <v>0.2</v>
      </c>
      <c r="F244" s="56">
        <f ca="1">Table14[[#This Row],[Lead Time Demand]]*Table14[[#This Row],[Share % 
(based on 
Random '#)]]</f>
        <v>333402.50944613153</v>
      </c>
      <c r="G244" s="124">
        <f ca="1">Table14[[#This Row],[Share of Lead Time Demand (Units)]]*Unit_price</f>
        <v>2667220.0755690522</v>
      </c>
      <c r="H244" s="125">
        <f ca="1">Table14[[#This Row],[Share of Lead Time Demand (Units)]]*Unit_cost</f>
        <v>1333610.0377845261</v>
      </c>
      <c r="I244" s="125">
        <f ca="1">Table14[[#This Row],[Revenue]]-Table14[[#This Row],[Costs]]</f>
        <v>1333610.0377845261</v>
      </c>
    </row>
    <row r="245" spans="1:9">
      <c r="A245">
        <v>217</v>
      </c>
      <c r="B245">
        <f t="shared" ca="1" si="7"/>
        <v>0.42613739179548349</v>
      </c>
      <c r="C245" s="51">
        <f ca="1">_xlfn.NORM.INV(Table14[[#This Row],[Random '# for LT Demand]],Expected_LT_Demand,$F$8)*1000</f>
        <v>1878639.9399729455</v>
      </c>
      <c r="D245">
        <f t="shared" ca="1" si="8"/>
        <v>1.9235291938497379E-2</v>
      </c>
      <c r="E245" s="55">
        <f ca="1">VLOOKUP(Table14[[#This Row],[Random '# for Share ]],$E$16:$F$21,2,TRUE)</f>
        <v>0.2</v>
      </c>
      <c r="F245" s="56">
        <f ca="1">Table14[[#This Row],[Lead Time Demand]]*Table14[[#This Row],[Share % 
(based on 
Random '#)]]</f>
        <v>375727.98799458914</v>
      </c>
      <c r="G245" s="124">
        <f ca="1">Table14[[#This Row],[Share of Lead Time Demand (Units)]]*Unit_price</f>
        <v>3005823.9039567132</v>
      </c>
      <c r="H245" s="125">
        <f ca="1">Table14[[#This Row],[Share of Lead Time Demand (Units)]]*Unit_cost</f>
        <v>1502911.9519783566</v>
      </c>
      <c r="I245" s="125">
        <f ca="1">Table14[[#This Row],[Revenue]]-Table14[[#This Row],[Costs]]</f>
        <v>1502911.9519783566</v>
      </c>
    </row>
    <row r="246" spans="1:9">
      <c r="A246">
        <v>218</v>
      </c>
      <c r="B246">
        <f t="shared" ca="1" si="7"/>
        <v>0.625478100660536</v>
      </c>
      <c r="C246" s="51">
        <f ca="1">_xlfn.NORM.INV(Table14[[#This Row],[Random '# for LT Demand]],Expected_LT_Demand,$F$8)*1000</f>
        <v>1940173.4107743455</v>
      </c>
      <c r="D246">
        <f t="shared" ca="1" si="8"/>
        <v>0.44443051050565208</v>
      </c>
      <c r="E246" s="55">
        <f ca="1">VLOOKUP(Table14[[#This Row],[Random '# for Share ]],$E$16:$F$21,2,TRUE)</f>
        <v>0.5</v>
      </c>
      <c r="F246" s="56">
        <f ca="1">Table14[[#This Row],[Lead Time Demand]]*Table14[[#This Row],[Share % 
(based on 
Random '#)]]</f>
        <v>970086.70538717275</v>
      </c>
      <c r="G246" s="124">
        <f ca="1">Table14[[#This Row],[Share of Lead Time Demand (Units)]]*Unit_price</f>
        <v>7760693.643097382</v>
      </c>
      <c r="H246" s="125">
        <f ca="1">Table14[[#This Row],[Share of Lead Time Demand (Units)]]*Unit_cost</f>
        <v>3880346.821548691</v>
      </c>
      <c r="I246" s="125">
        <f ca="1">Table14[[#This Row],[Revenue]]-Table14[[#This Row],[Costs]]</f>
        <v>3880346.821548691</v>
      </c>
    </row>
    <row r="247" spans="1:9">
      <c r="A247">
        <v>219</v>
      </c>
      <c r="B247">
        <f t="shared" ca="1" si="7"/>
        <v>0.66479105910136205</v>
      </c>
      <c r="C247" s="51">
        <f ca="1">_xlfn.NORM.INV(Table14[[#This Row],[Random '# for LT Demand]],Expected_LT_Demand,$F$8)*1000</f>
        <v>1953021.2151873033</v>
      </c>
      <c r="D247">
        <f t="shared" ca="1" si="8"/>
        <v>0.48757951463309279</v>
      </c>
      <c r="E247" s="55">
        <f ca="1">VLOOKUP(Table14[[#This Row],[Random '# for Share ]],$E$16:$F$21,2,TRUE)</f>
        <v>0.5</v>
      </c>
      <c r="F247" s="56">
        <f ca="1">Table14[[#This Row],[Lead Time Demand]]*Table14[[#This Row],[Share % 
(based on 
Random '#)]]</f>
        <v>976510.60759365163</v>
      </c>
      <c r="G247" s="124">
        <f ca="1">Table14[[#This Row],[Share of Lead Time Demand (Units)]]*Unit_price</f>
        <v>7812084.860749213</v>
      </c>
      <c r="H247" s="125">
        <f ca="1">Table14[[#This Row],[Share of Lead Time Demand (Units)]]*Unit_cost</f>
        <v>3906042.4303746065</v>
      </c>
      <c r="I247" s="125">
        <f ca="1">Table14[[#This Row],[Revenue]]-Table14[[#This Row],[Costs]]</f>
        <v>3906042.4303746065</v>
      </c>
    </row>
    <row r="248" spans="1:9">
      <c r="A248">
        <v>220</v>
      </c>
      <c r="B248">
        <f t="shared" ca="1" si="7"/>
        <v>1.0830936055457707E-2</v>
      </c>
      <c r="C248" s="51">
        <f ca="1">_xlfn.NORM.INV(Table14[[#This Row],[Random '# for LT Demand]],Expected_LT_Demand,$F$8)*1000</f>
        <v>1622103.7754530958</v>
      </c>
      <c r="D248">
        <f t="shared" ca="1" si="8"/>
        <v>0.22632875115941886</v>
      </c>
      <c r="E248" s="55">
        <f ca="1">VLOOKUP(Table14[[#This Row],[Random '# for Share ]],$E$16:$F$21,2,TRUE)</f>
        <v>0.4</v>
      </c>
      <c r="F248" s="56">
        <f ca="1">Table14[[#This Row],[Lead Time Demand]]*Table14[[#This Row],[Share % 
(based on 
Random '#)]]</f>
        <v>648841.51018123841</v>
      </c>
      <c r="G248" s="124">
        <f ca="1">Table14[[#This Row],[Share of Lead Time Demand (Units)]]*Unit_price</f>
        <v>5190732.0814499073</v>
      </c>
      <c r="H248" s="125">
        <f ca="1">Table14[[#This Row],[Share of Lead Time Demand (Units)]]*Unit_cost</f>
        <v>2595366.0407249536</v>
      </c>
      <c r="I248" s="125">
        <f ca="1">Table14[[#This Row],[Revenue]]-Table14[[#This Row],[Costs]]</f>
        <v>2595366.0407249536</v>
      </c>
    </row>
    <row r="249" spans="1:9">
      <c r="A249">
        <v>221</v>
      </c>
      <c r="B249">
        <f t="shared" ca="1" si="7"/>
        <v>0.52117105133075936</v>
      </c>
      <c r="C249" s="51">
        <f ca="1">_xlfn.NORM.INV(Table14[[#This Row],[Random '# for LT Demand]],Expected_LT_Demand,$F$8)*1000</f>
        <v>1907735.0842933317</v>
      </c>
      <c r="D249">
        <f t="shared" ca="1" si="8"/>
        <v>0.61042314374546924</v>
      </c>
      <c r="E249" s="55">
        <f ca="1">VLOOKUP(Table14[[#This Row],[Random '# for Share ]],$E$16:$F$21,2,TRUE)</f>
        <v>0.6</v>
      </c>
      <c r="F249" s="56">
        <f ca="1">Table14[[#This Row],[Lead Time Demand]]*Table14[[#This Row],[Share % 
(based on 
Random '#)]]</f>
        <v>1144641.0505759991</v>
      </c>
      <c r="G249" s="124">
        <f ca="1">Table14[[#This Row],[Share of Lead Time Demand (Units)]]*Unit_price</f>
        <v>9157128.4046079926</v>
      </c>
      <c r="H249" s="125">
        <f ca="1">Table14[[#This Row],[Share of Lead Time Demand (Units)]]*Unit_cost</f>
        <v>4578564.2023039963</v>
      </c>
      <c r="I249" s="125">
        <f ca="1">Table14[[#This Row],[Revenue]]-Table14[[#This Row],[Costs]]</f>
        <v>4578564.2023039963</v>
      </c>
    </row>
    <row r="250" spans="1:9">
      <c r="A250">
        <v>222</v>
      </c>
      <c r="B250">
        <f t="shared" ca="1" si="7"/>
        <v>0.99758245815621549</v>
      </c>
      <c r="C250" s="51">
        <f ca="1">_xlfn.NORM.INV(Table14[[#This Row],[Random '# for LT Demand]],Expected_LT_Demand,$F$8)*1000</f>
        <v>2243869.2490190859</v>
      </c>
      <c r="D250">
        <f t="shared" ca="1" si="8"/>
        <v>0.16941968925566486</v>
      </c>
      <c r="E250" s="55">
        <f ca="1">VLOOKUP(Table14[[#This Row],[Random '# for Share ]],$E$16:$F$21,2,TRUE)</f>
        <v>0.4</v>
      </c>
      <c r="F250" s="56">
        <f ca="1">Table14[[#This Row],[Lead Time Demand]]*Table14[[#This Row],[Share % 
(based on 
Random '#)]]</f>
        <v>897547.69960763445</v>
      </c>
      <c r="G250" s="124">
        <f ca="1">Table14[[#This Row],[Share of Lead Time Demand (Units)]]*Unit_price</f>
        <v>7180381.5968610756</v>
      </c>
      <c r="H250" s="125">
        <f ca="1">Table14[[#This Row],[Share of Lead Time Demand (Units)]]*Unit_cost</f>
        <v>3590190.7984305378</v>
      </c>
      <c r="I250" s="125">
        <f ca="1">Table14[[#This Row],[Revenue]]-Table14[[#This Row],[Costs]]</f>
        <v>3590190.7984305378</v>
      </c>
    </row>
    <row r="251" spans="1:9">
      <c r="A251">
        <v>223</v>
      </c>
      <c r="B251">
        <f t="shared" ca="1" si="7"/>
        <v>9.4119714137281818E-3</v>
      </c>
      <c r="C251" s="51">
        <f ca="1">_xlfn.NORM.INV(Table14[[#This Row],[Random '# for LT Demand]],Expected_LT_Demand,$F$8)*1000</f>
        <v>1615689.9463290882</v>
      </c>
      <c r="D251">
        <f t="shared" ca="1" si="8"/>
        <v>0.21649925009779369</v>
      </c>
      <c r="E251" s="55">
        <f ca="1">VLOOKUP(Table14[[#This Row],[Random '# for Share ]],$E$16:$F$21,2,TRUE)</f>
        <v>0.4</v>
      </c>
      <c r="F251" s="56">
        <f ca="1">Table14[[#This Row],[Lead Time Demand]]*Table14[[#This Row],[Share % 
(based on 
Random '#)]]</f>
        <v>646275.97853163537</v>
      </c>
      <c r="G251" s="124">
        <f ca="1">Table14[[#This Row],[Share of Lead Time Demand (Units)]]*Unit_price</f>
        <v>5170207.8282530829</v>
      </c>
      <c r="H251" s="125">
        <f ca="1">Table14[[#This Row],[Share of Lead Time Demand (Units)]]*Unit_cost</f>
        <v>2585103.9141265415</v>
      </c>
      <c r="I251" s="125">
        <f ca="1">Table14[[#This Row],[Revenue]]-Table14[[#This Row],[Costs]]</f>
        <v>2585103.9141265415</v>
      </c>
    </row>
    <row r="252" spans="1:9">
      <c r="A252">
        <v>224</v>
      </c>
      <c r="B252">
        <f t="shared" ca="1" si="7"/>
        <v>0.20602546718337322</v>
      </c>
      <c r="C252" s="51">
        <f ca="1">_xlfn.NORM.INV(Table14[[#This Row],[Random '# for LT Demand]],Expected_LT_Demand,$F$8)*1000</f>
        <v>1801549.6669042122</v>
      </c>
      <c r="D252">
        <f t="shared" ca="1" si="8"/>
        <v>0.89797587284190949</v>
      </c>
      <c r="E252" s="55">
        <f ca="1">VLOOKUP(Table14[[#This Row],[Random '# for Share ]],$E$16:$F$21,2,TRUE)</f>
        <v>0.7</v>
      </c>
      <c r="F252" s="56">
        <f ca="1">Table14[[#This Row],[Lead Time Demand]]*Table14[[#This Row],[Share % 
(based on 
Random '#)]]</f>
        <v>1261084.7668329484</v>
      </c>
      <c r="G252" s="124">
        <f ca="1">Table14[[#This Row],[Share of Lead Time Demand (Units)]]*Unit_price</f>
        <v>10088678.134663587</v>
      </c>
      <c r="H252" s="125">
        <f ca="1">Table14[[#This Row],[Share of Lead Time Demand (Units)]]*Unit_cost</f>
        <v>5044339.0673317937</v>
      </c>
      <c r="I252" s="125">
        <f ca="1">Table14[[#This Row],[Revenue]]-Table14[[#This Row],[Costs]]</f>
        <v>5044339.0673317937</v>
      </c>
    </row>
    <row r="253" spans="1:9">
      <c r="A253">
        <v>225</v>
      </c>
      <c r="B253">
        <f t="shared" ca="1" si="7"/>
        <v>0.36235544059813107</v>
      </c>
      <c r="C253" s="51">
        <f ca="1">_xlfn.NORM.INV(Table14[[#This Row],[Random '# for LT Demand]],Expected_LT_Demand,$F$8)*1000</f>
        <v>1858463.4469508186</v>
      </c>
      <c r="D253">
        <f t="shared" ca="1" si="8"/>
        <v>0.11601284556100666</v>
      </c>
      <c r="E253" s="55">
        <f ca="1">VLOOKUP(Table14[[#This Row],[Random '# for Share ]],$E$16:$F$21,2,TRUE)</f>
        <v>0.3</v>
      </c>
      <c r="F253" s="56">
        <f ca="1">Table14[[#This Row],[Lead Time Demand]]*Table14[[#This Row],[Share % 
(based on 
Random '#)]]</f>
        <v>557539.03408524557</v>
      </c>
      <c r="G253" s="124">
        <f ca="1">Table14[[#This Row],[Share of Lead Time Demand (Units)]]*Unit_price</f>
        <v>4460312.2726819646</v>
      </c>
      <c r="H253" s="125">
        <f ca="1">Table14[[#This Row],[Share of Lead Time Demand (Units)]]*Unit_cost</f>
        <v>2230156.1363409823</v>
      </c>
      <c r="I253" s="125">
        <f ca="1">Table14[[#This Row],[Revenue]]-Table14[[#This Row],[Costs]]</f>
        <v>2230156.1363409823</v>
      </c>
    </row>
    <row r="254" spans="1:9">
      <c r="A254">
        <v>226</v>
      </c>
      <c r="B254">
        <f t="shared" ca="1" si="7"/>
        <v>0.1094088697483947</v>
      </c>
      <c r="C254" s="51">
        <f ca="1">_xlfn.NORM.INV(Table14[[#This Row],[Random '# for LT Demand]],Expected_LT_Demand,$F$8)*1000</f>
        <v>1751776.4659690256</v>
      </c>
      <c r="D254">
        <f t="shared" ca="1" si="8"/>
        <v>0.11806117275732431</v>
      </c>
      <c r="E254" s="55">
        <f ca="1">VLOOKUP(Table14[[#This Row],[Random '# for Share ]],$E$16:$F$21,2,TRUE)</f>
        <v>0.3</v>
      </c>
      <c r="F254" s="56">
        <f ca="1">Table14[[#This Row],[Lead Time Demand]]*Table14[[#This Row],[Share % 
(based on 
Random '#)]]</f>
        <v>525532.93979070766</v>
      </c>
      <c r="G254" s="124">
        <f ca="1">Table14[[#This Row],[Share of Lead Time Demand (Units)]]*Unit_price</f>
        <v>4204263.5183256613</v>
      </c>
      <c r="H254" s="125">
        <f ca="1">Table14[[#This Row],[Share of Lead Time Demand (Units)]]*Unit_cost</f>
        <v>2102131.7591628307</v>
      </c>
      <c r="I254" s="125">
        <f ca="1">Table14[[#This Row],[Revenue]]-Table14[[#This Row],[Costs]]</f>
        <v>2102131.7591628307</v>
      </c>
    </row>
    <row r="255" spans="1:9">
      <c r="A255">
        <v>227</v>
      </c>
      <c r="B255">
        <f t="shared" ca="1" si="7"/>
        <v>7.9206036716623074E-2</v>
      </c>
      <c r="C255" s="51">
        <f ca="1">_xlfn.NORM.INV(Table14[[#This Row],[Random '# for LT Demand]],Expected_LT_Demand,$F$8)*1000</f>
        <v>1729800.440481866</v>
      </c>
      <c r="D255">
        <f t="shared" ca="1" si="8"/>
        <v>0.45773832488274757</v>
      </c>
      <c r="E255" s="55">
        <f ca="1">VLOOKUP(Table14[[#This Row],[Random '# for Share ]],$E$16:$F$21,2,TRUE)</f>
        <v>0.5</v>
      </c>
      <c r="F255" s="56">
        <f ca="1">Table14[[#This Row],[Lead Time Demand]]*Table14[[#This Row],[Share % 
(based on 
Random '#)]]</f>
        <v>864900.22024093301</v>
      </c>
      <c r="G255" s="124">
        <f ca="1">Table14[[#This Row],[Share of Lead Time Demand (Units)]]*Unit_price</f>
        <v>6919201.761927464</v>
      </c>
      <c r="H255" s="125">
        <f ca="1">Table14[[#This Row],[Share of Lead Time Demand (Units)]]*Unit_cost</f>
        <v>3459600.880963732</v>
      </c>
      <c r="I255" s="125">
        <f ca="1">Table14[[#This Row],[Revenue]]-Table14[[#This Row],[Costs]]</f>
        <v>3459600.880963732</v>
      </c>
    </row>
    <row r="256" spans="1:9">
      <c r="A256">
        <v>228</v>
      </c>
      <c r="B256">
        <f t="shared" ca="1" si="7"/>
        <v>0.60643791435465633</v>
      </c>
      <c r="C256" s="51">
        <f ca="1">_xlfn.NORM.INV(Table14[[#This Row],[Random '# for LT Demand]],Expected_LT_Demand,$F$8)*1000</f>
        <v>1934112.242168264</v>
      </c>
      <c r="D256">
        <f t="shared" ca="1" si="8"/>
        <v>0.537521246633897</v>
      </c>
      <c r="E256" s="55">
        <f ca="1">VLOOKUP(Table14[[#This Row],[Random '# for Share ]],$E$16:$F$21,2,TRUE)</f>
        <v>0.6</v>
      </c>
      <c r="F256" s="56">
        <f ca="1">Table14[[#This Row],[Lead Time Demand]]*Table14[[#This Row],[Share % 
(based on 
Random '#)]]</f>
        <v>1160467.3453009583</v>
      </c>
      <c r="G256" s="124">
        <f ca="1">Table14[[#This Row],[Share of Lead Time Demand (Units)]]*Unit_price</f>
        <v>9283738.7624076661</v>
      </c>
      <c r="H256" s="125">
        <f ca="1">Table14[[#This Row],[Share of Lead Time Demand (Units)]]*Unit_cost</f>
        <v>4641869.381203833</v>
      </c>
      <c r="I256" s="125">
        <f ca="1">Table14[[#This Row],[Revenue]]-Table14[[#This Row],[Costs]]</f>
        <v>4641869.381203833</v>
      </c>
    </row>
    <row r="257" spans="1:9">
      <c r="A257">
        <v>229</v>
      </c>
      <c r="B257">
        <f t="shared" ca="1" si="7"/>
        <v>0.75367090122100311</v>
      </c>
      <c r="C257" s="51">
        <f ca="1">_xlfn.NORM.INV(Table14[[#This Row],[Random '# for LT Demand]],Expected_LT_Demand,$F$8)*1000</f>
        <v>1984694.1942612638</v>
      </c>
      <c r="D257">
        <f t="shared" ca="1" si="8"/>
        <v>8.8490313442485147E-2</v>
      </c>
      <c r="E257" s="55">
        <f ca="1">VLOOKUP(Table14[[#This Row],[Random '# for Share ]],$E$16:$F$21,2,TRUE)</f>
        <v>0.3</v>
      </c>
      <c r="F257" s="56">
        <f ca="1">Table14[[#This Row],[Lead Time Demand]]*Table14[[#This Row],[Share % 
(based on 
Random '#)]]</f>
        <v>595408.2582783791</v>
      </c>
      <c r="G257" s="124">
        <f ca="1">Table14[[#This Row],[Share of Lead Time Demand (Units)]]*Unit_price</f>
        <v>4763266.0662270328</v>
      </c>
      <c r="H257" s="125">
        <f ca="1">Table14[[#This Row],[Share of Lead Time Demand (Units)]]*Unit_cost</f>
        <v>2381633.0331135164</v>
      </c>
      <c r="I257" s="125">
        <f ca="1">Table14[[#This Row],[Revenue]]-Table14[[#This Row],[Costs]]</f>
        <v>2381633.0331135164</v>
      </c>
    </row>
    <row r="258" spans="1:9">
      <c r="A258">
        <v>230</v>
      </c>
      <c r="B258">
        <f t="shared" ca="1" si="7"/>
        <v>0.41792978318206753</v>
      </c>
      <c r="C258" s="51">
        <f ca="1">_xlfn.NORM.INV(Table14[[#This Row],[Random '# for LT Demand]],Expected_LT_Demand,$F$8)*1000</f>
        <v>1876089.7264102409</v>
      </c>
      <c r="D258">
        <f t="shared" ca="1" si="8"/>
        <v>0.45760715350428294</v>
      </c>
      <c r="E258" s="55">
        <f ca="1">VLOOKUP(Table14[[#This Row],[Random '# for Share ]],$E$16:$F$21,2,TRUE)</f>
        <v>0.5</v>
      </c>
      <c r="F258" s="56">
        <f ca="1">Table14[[#This Row],[Lead Time Demand]]*Table14[[#This Row],[Share % 
(based on 
Random '#)]]</f>
        <v>938044.86320512043</v>
      </c>
      <c r="G258" s="124">
        <f ca="1">Table14[[#This Row],[Share of Lead Time Demand (Units)]]*Unit_price</f>
        <v>7504358.9056409635</v>
      </c>
      <c r="H258" s="125">
        <f ca="1">Table14[[#This Row],[Share of Lead Time Demand (Units)]]*Unit_cost</f>
        <v>3752179.4528204817</v>
      </c>
      <c r="I258" s="125">
        <f ca="1">Table14[[#This Row],[Revenue]]-Table14[[#This Row],[Costs]]</f>
        <v>3752179.4528204817</v>
      </c>
    </row>
    <row r="259" spans="1:9">
      <c r="A259">
        <v>231</v>
      </c>
      <c r="B259">
        <f t="shared" ca="1" si="7"/>
        <v>0.97343453195108576</v>
      </c>
      <c r="C259" s="51">
        <f ca="1">_xlfn.NORM.INV(Table14[[#This Row],[Random '# for LT Demand]],Expected_LT_Demand,$F$8)*1000</f>
        <v>2136397.201513187</v>
      </c>
      <c r="D259">
        <f t="shared" ca="1" si="8"/>
        <v>0.42658856036383819</v>
      </c>
      <c r="E259" s="55">
        <f ca="1">VLOOKUP(Table14[[#This Row],[Random '# for Share ]],$E$16:$F$21,2,TRUE)</f>
        <v>0.5</v>
      </c>
      <c r="F259" s="56">
        <f ca="1">Table14[[#This Row],[Lead Time Demand]]*Table14[[#This Row],[Share % 
(based on 
Random '#)]]</f>
        <v>1068198.6007565935</v>
      </c>
      <c r="G259" s="124">
        <f ca="1">Table14[[#This Row],[Share of Lead Time Demand (Units)]]*Unit_price</f>
        <v>8545588.8060527481</v>
      </c>
      <c r="H259" s="125">
        <f ca="1">Table14[[#This Row],[Share of Lead Time Demand (Units)]]*Unit_cost</f>
        <v>4272794.4030263741</v>
      </c>
      <c r="I259" s="125">
        <f ca="1">Table14[[#This Row],[Revenue]]-Table14[[#This Row],[Costs]]</f>
        <v>4272794.4030263741</v>
      </c>
    </row>
    <row r="260" spans="1:9">
      <c r="A260">
        <v>232</v>
      </c>
      <c r="B260">
        <f t="shared" ca="1" si="7"/>
        <v>0.26346890169927994</v>
      </c>
      <c r="C260" s="51">
        <f ca="1">_xlfn.NORM.INV(Table14[[#This Row],[Random '# for LT Demand]],Expected_LT_Demand,$F$8)*1000</f>
        <v>1824358.2683057371</v>
      </c>
      <c r="D260">
        <f t="shared" ca="1" si="8"/>
        <v>0.87030835862219913</v>
      </c>
      <c r="E260" s="55">
        <f ca="1">VLOOKUP(Table14[[#This Row],[Random '# for Share ]],$E$16:$F$21,2,TRUE)</f>
        <v>0.7</v>
      </c>
      <c r="F260" s="56">
        <f ca="1">Table14[[#This Row],[Lead Time Demand]]*Table14[[#This Row],[Share % 
(based on 
Random '#)]]</f>
        <v>1277050.7878140158</v>
      </c>
      <c r="G260" s="124">
        <f ca="1">Table14[[#This Row],[Share of Lead Time Demand (Units)]]*Unit_price</f>
        <v>10216406.302512126</v>
      </c>
      <c r="H260" s="125">
        <f ca="1">Table14[[#This Row],[Share of Lead Time Demand (Units)]]*Unit_cost</f>
        <v>5108203.151256063</v>
      </c>
      <c r="I260" s="125">
        <f ca="1">Table14[[#This Row],[Revenue]]-Table14[[#This Row],[Costs]]</f>
        <v>5108203.151256063</v>
      </c>
    </row>
    <row r="261" spans="1:9">
      <c r="A261">
        <v>233</v>
      </c>
      <c r="B261">
        <f t="shared" ca="1" si="7"/>
        <v>0.87680780370319</v>
      </c>
      <c r="C261" s="51">
        <f ca="1">_xlfn.NORM.INV(Table14[[#This Row],[Random '# for LT Demand]],Expected_LT_Demand,$F$8)*1000</f>
        <v>2042212.1208573089</v>
      </c>
      <c r="D261">
        <f t="shared" ca="1" si="8"/>
        <v>0.22303822928765149</v>
      </c>
      <c r="E261" s="55">
        <f ca="1">VLOOKUP(Table14[[#This Row],[Random '# for Share ]],$E$16:$F$21,2,TRUE)</f>
        <v>0.4</v>
      </c>
      <c r="F261" s="56">
        <f ca="1">Table14[[#This Row],[Lead Time Demand]]*Table14[[#This Row],[Share % 
(based on 
Random '#)]]</f>
        <v>816884.84834292356</v>
      </c>
      <c r="G261" s="124">
        <f ca="1">Table14[[#This Row],[Share of Lead Time Demand (Units)]]*Unit_price</f>
        <v>6535078.7867433885</v>
      </c>
      <c r="H261" s="125">
        <f ca="1">Table14[[#This Row],[Share of Lead Time Demand (Units)]]*Unit_cost</f>
        <v>3267539.3933716943</v>
      </c>
      <c r="I261" s="125">
        <f ca="1">Table14[[#This Row],[Revenue]]-Table14[[#This Row],[Costs]]</f>
        <v>3267539.3933716943</v>
      </c>
    </row>
    <row r="262" spans="1:9">
      <c r="A262">
        <v>234</v>
      </c>
      <c r="B262">
        <f t="shared" ca="1" si="7"/>
        <v>0.34814212366860142</v>
      </c>
      <c r="C262" s="51">
        <f ca="1">_xlfn.NORM.INV(Table14[[#This Row],[Random '# for LT Demand]],Expected_LT_Demand,$F$8)*1000</f>
        <v>1853822.5922829483</v>
      </c>
      <c r="D262">
        <f t="shared" ca="1" si="8"/>
        <v>0.78369136754200996</v>
      </c>
      <c r="E262" s="55">
        <f ca="1">VLOOKUP(Table14[[#This Row],[Random '# for Share ]],$E$16:$F$21,2,TRUE)</f>
        <v>0.7</v>
      </c>
      <c r="F262" s="56">
        <f ca="1">Table14[[#This Row],[Lead Time Demand]]*Table14[[#This Row],[Share % 
(based on 
Random '#)]]</f>
        <v>1297675.8145980637</v>
      </c>
      <c r="G262" s="124">
        <f ca="1">Table14[[#This Row],[Share of Lead Time Demand (Units)]]*Unit_price</f>
        <v>10381406.51678451</v>
      </c>
      <c r="H262" s="125">
        <f ca="1">Table14[[#This Row],[Share of Lead Time Demand (Units)]]*Unit_cost</f>
        <v>5190703.2583922548</v>
      </c>
      <c r="I262" s="125">
        <f ca="1">Table14[[#This Row],[Revenue]]-Table14[[#This Row],[Costs]]</f>
        <v>5190703.2583922548</v>
      </c>
    </row>
    <row r="263" spans="1:9">
      <c r="A263">
        <v>235</v>
      </c>
      <c r="B263">
        <f t="shared" ca="1" si="7"/>
        <v>0.32076231171306224</v>
      </c>
      <c r="C263" s="51">
        <f ca="1">_xlfn.NORM.INV(Table14[[#This Row],[Random '# for LT Demand]],Expected_LT_Demand,$F$8)*1000</f>
        <v>1844676.5368110144</v>
      </c>
      <c r="D263">
        <f t="shared" ca="1" si="8"/>
        <v>0.23457965948293302</v>
      </c>
      <c r="E263" s="55">
        <f ca="1">VLOOKUP(Table14[[#This Row],[Random '# for Share ]],$E$16:$F$21,2,TRUE)</f>
        <v>0.4</v>
      </c>
      <c r="F263" s="56">
        <f ca="1">Table14[[#This Row],[Lead Time Demand]]*Table14[[#This Row],[Share % 
(based on 
Random '#)]]</f>
        <v>737870.61472440581</v>
      </c>
      <c r="G263" s="124">
        <f ca="1">Table14[[#This Row],[Share of Lead Time Demand (Units)]]*Unit_price</f>
        <v>5902964.9177952465</v>
      </c>
      <c r="H263" s="125">
        <f ca="1">Table14[[#This Row],[Share of Lead Time Demand (Units)]]*Unit_cost</f>
        <v>2951482.4588976232</v>
      </c>
      <c r="I263" s="125">
        <f ca="1">Table14[[#This Row],[Revenue]]-Table14[[#This Row],[Costs]]</f>
        <v>2951482.4588976232</v>
      </c>
    </row>
    <row r="264" spans="1:9">
      <c r="A264">
        <v>236</v>
      </c>
      <c r="B264">
        <f t="shared" ca="1" si="7"/>
        <v>0.42603975098648883</v>
      </c>
      <c r="C264" s="51">
        <f ca="1">_xlfn.NORM.INV(Table14[[#This Row],[Random '# for LT Demand]],Expected_LT_Demand,$F$8)*1000</f>
        <v>1878609.6623598519</v>
      </c>
      <c r="D264">
        <f t="shared" ca="1" si="8"/>
        <v>0.94917047800436649</v>
      </c>
      <c r="E264" s="55">
        <f ca="1">VLOOKUP(Table14[[#This Row],[Random '# for Share ]],$E$16:$F$21,2,TRUE)</f>
        <v>0.7</v>
      </c>
      <c r="F264" s="56">
        <f ca="1">Table14[[#This Row],[Lead Time Demand]]*Table14[[#This Row],[Share % 
(based on 
Random '#)]]</f>
        <v>1315026.7636518963</v>
      </c>
      <c r="G264" s="124">
        <f ca="1">Table14[[#This Row],[Share of Lead Time Demand (Units)]]*Unit_price</f>
        <v>10520214.10921517</v>
      </c>
      <c r="H264" s="125">
        <f ca="1">Table14[[#This Row],[Share of Lead Time Demand (Units)]]*Unit_cost</f>
        <v>5260107.0546075851</v>
      </c>
      <c r="I264" s="125">
        <f ca="1">Table14[[#This Row],[Revenue]]-Table14[[#This Row],[Costs]]</f>
        <v>5260107.0546075851</v>
      </c>
    </row>
    <row r="265" spans="1:9">
      <c r="A265">
        <v>237</v>
      </c>
      <c r="B265">
        <f t="shared" ca="1" si="7"/>
        <v>0.83641698389069052</v>
      </c>
      <c r="C265" s="51">
        <f ca="1">_xlfn.NORM.INV(Table14[[#This Row],[Random '# for LT Demand]],Expected_LT_Demand,$F$8)*1000</f>
        <v>2020408.2953535798</v>
      </c>
      <c r="D265">
        <f t="shared" ca="1" si="8"/>
        <v>7.9997085345580254E-2</v>
      </c>
      <c r="E265" s="55">
        <f ca="1">VLOOKUP(Table14[[#This Row],[Random '# for Share ]],$E$16:$F$21,2,TRUE)</f>
        <v>0.3</v>
      </c>
      <c r="F265" s="56">
        <f ca="1">Table14[[#This Row],[Lead Time Demand]]*Table14[[#This Row],[Share % 
(based on 
Random '#)]]</f>
        <v>606122.48860607389</v>
      </c>
      <c r="G265" s="124">
        <f ca="1">Table14[[#This Row],[Share of Lead Time Demand (Units)]]*Unit_price</f>
        <v>4848979.9088485911</v>
      </c>
      <c r="H265" s="125">
        <f ca="1">Table14[[#This Row],[Share of Lead Time Demand (Units)]]*Unit_cost</f>
        <v>2424489.9544242956</v>
      </c>
      <c r="I265" s="125">
        <f ca="1">Table14[[#This Row],[Revenue]]-Table14[[#This Row],[Costs]]</f>
        <v>2424489.9544242956</v>
      </c>
    </row>
    <row r="266" spans="1:9">
      <c r="A266">
        <v>238</v>
      </c>
      <c r="B266">
        <f t="shared" ca="1" si="7"/>
        <v>0.15374142059044338</v>
      </c>
      <c r="C266" s="51">
        <f ca="1">_xlfn.NORM.INV(Table14[[#This Row],[Random '# for LT Demand]],Expected_LT_Demand,$F$8)*1000</f>
        <v>1777206.0176139153</v>
      </c>
      <c r="D266">
        <f t="shared" ca="1" si="8"/>
        <v>2.3560282129331256E-2</v>
      </c>
      <c r="E266" s="55">
        <f ca="1">VLOOKUP(Table14[[#This Row],[Random '# for Share ]],$E$16:$F$21,2,TRUE)</f>
        <v>0.2</v>
      </c>
      <c r="F266" s="56">
        <f ca="1">Table14[[#This Row],[Lead Time Demand]]*Table14[[#This Row],[Share % 
(based on 
Random '#)]]</f>
        <v>355441.20352278306</v>
      </c>
      <c r="G266" s="124">
        <f ca="1">Table14[[#This Row],[Share of Lead Time Demand (Units)]]*Unit_price</f>
        <v>2843529.6281822645</v>
      </c>
      <c r="H266" s="125">
        <f ca="1">Table14[[#This Row],[Share of Lead Time Demand (Units)]]*Unit_cost</f>
        <v>1421764.8140911323</v>
      </c>
      <c r="I266" s="125">
        <f ca="1">Table14[[#This Row],[Revenue]]-Table14[[#This Row],[Costs]]</f>
        <v>1421764.8140911323</v>
      </c>
    </row>
    <row r="267" spans="1:9">
      <c r="A267">
        <v>239</v>
      </c>
      <c r="B267">
        <f t="shared" ca="1" si="7"/>
        <v>0.70192053926417164</v>
      </c>
      <c r="C267" s="51">
        <f ca="1">_xlfn.NORM.INV(Table14[[#This Row],[Random '# for LT Demand]],Expected_LT_Demand,$F$8)*1000</f>
        <v>1965708.9670147926</v>
      </c>
      <c r="D267">
        <f t="shared" ca="1" si="8"/>
        <v>0.8428532300794026</v>
      </c>
      <c r="E267" s="55">
        <f ca="1">VLOOKUP(Table14[[#This Row],[Random '# for Share ]],$E$16:$F$21,2,TRUE)</f>
        <v>0.7</v>
      </c>
      <c r="F267" s="56">
        <f ca="1">Table14[[#This Row],[Lead Time Demand]]*Table14[[#This Row],[Share % 
(based on 
Random '#)]]</f>
        <v>1375996.2769103548</v>
      </c>
      <c r="G267" s="124">
        <f ca="1">Table14[[#This Row],[Share of Lead Time Demand (Units)]]*Unit_price</f>
        <v>11007970.215282839</v>
      </c>
      <c r="H267" s="125">
        <f ca="1">Table14[[#This Row],[Share of Lead Time Demand (Units)]]*Unit_cost</f>
        <v>5503985.1076414194</v>
      </c>
      <c r="I267" s="125">
        <f ca="1">Table14[[#This Row],[Revenue]]-Table14[[#This Row],[Costs]]</f>
        <v>5503985.1076414194</v>
      </c>
    </row>
    <row r="268" spans="1:9">
      <c r="A268">
        <v>240</v>
      </c>
      <c r="B268">
        <f t="shared" ca="1" si="7"/>
        <v>0.34572727524053215</v>
      </c>
      <c r="C268" s="51">
        <f ca="1">_xlfn.NORM.INV(Table14[[#This Row],[Random '# for LT Demand]],Expected_LT_Demand,$F$8)*1000</f>
        <v>1853027.3793913641</v>
      </c>
      <c r="D268">
        <f t="shared" ca="1" si="8"/>
        <v>0.84849482595650039</v>
      </c>
      <c r="E268" s="55">
        <f ca="1">VLOOKUP(Table14[[#This Row],[Random '# for Share ]],$E$16:$F$21,2,TRUE)</f>
        <v>0.7</v>
      </c>
      <c r="F268" s="56">
        <f ca="1">Table14[[#This Row],[Lead Time Demand]]*Table14[[#This Row],[Share % 
(based on 
Random '#)]]</f>
        <v>1297119.1655739548</v>
      </c>
      <c r="G268" s="124">
        <f ca="1">Table14[[#This Row],[Share of Lead Time Demand (Units)]]*Unit_price</f>
        <v>10376953.324591639</v>
      </c>
      <c r="H268" s="125">
        <f ca="1">Table14[[#This Row],[Share of Lead Time Demand (Units)]]*Unit_cost</f>
        <v>5188476.6622958193</v>
      </c>
      <c r="I268" s="125">
        <f ca="1">Table14[[#This Row],[Revenue]]-Table14[[#This Row],[Costs]]</f>
        <v>5188476.6622958193</v>
      </c>
    </row>
    <row r="269" spans="1:9">
      <c r="A269">
        <v>241</v>
      </c>
      <c r="B269">
        <f t="shared" ca="1" si="7"/>
        <v>7.3954535567472668E-2</v>
      </c>
      <c r="C269" s="51">
        <f ca="1">_xlfn.NORM.INV(Table14[[#This Row],[Random '# for LT Demand]],Expected_LT_Demand,$F$8)*1000</f>
        <v>1725359.8313093202</v>
      </c>
      <c r="D269">
        <f t="shared" ca="1" si="8"/>
        <v>0.48836721112604187</v>
      </c>
      <c r="E269" s="55">
        <f ca="1">VLOOKUP(Table14[[#This Row],[Random '# for Share ]],$E$16:$F$21,2,TRUE)</f>
        <v>0.5</v>
      </c>
      <c r="F269" s="56">
        <f ca="1">Table14[[#This Row],[Lead Time Demand]]*Table14[[#This Row],[Share % 
(based on 
Random '#)]]</f>
        <v>862679.91565466009</v>
      </c>
      <c r="G269" s="124">
        <f ca="1">Table14[[#This Row],[Share of Lead Time Demand (Units)]]*Unit_price</f>
        <v>6901439.3252372807</v>
      </c>
      <c r="H269" s="125">
        <f ca="1">Table14[[#This Row],[Share of Lead Time Demand (Units)]]*Unit_cost</f>
        <v>3450719.6626186403</v>
      </c>
      <c r="I269" s="125">
        <f ca="1">Table14[[#This Row],[Revenue]]-Table14[[#This Row],[Costs]]</f>
        <v>3450719.6626186403</v>
      </c>
    </row>
    <row r="270" spans="1:9">
      <c r="A270">
        <v>242</v>
      </c>
      <c r="B270">
        <f t="shared" ca="1" si="7"/>
        <v>0.89725047418841253</v>
      </c>
      <c r="C270" s="51">
        <f ca="1">_xlfn.NORM.INV(Table14[[#This Row],[Random '# for LT Demand]],Expected_LT_Demand,$F$8)*1000</f>
        <v>2055204.4751503998</v>
      </c>
      <c r="D270">
        <f t="shared" ca="1" si="8"/>
        <v>0.80948455338981273</v>
      </c>
      <c r="E270" s="55">
        <f ca="1">VLOOKUP(Table14[[#This Row],[Random '# for Share ]],$E$16:$F$21,2,TRUE)</f>
        <v>0.7</v>
      </c>
      <c r="F270" s="56">
        <f ca="1">Table14[[#This Row],[Lead Time Demand]]*Table14[[#This Row],[Share % 
(based on 
Random '#)]]</f>
        <v>1438643.1326052798</v>
      </c>
      <c r="G270" s="124">
        <f ca="1">Table14[[#This Row],[Share of Lead Time Demand (Units)]]*Unit_price</f>
        <v>11509145.060842238</v>
      </c>
      <c r="H270" s="125">
        <f ca="1">Table14[[#This Row],[Share of Lead Time Demand (Units)]]*Unit_cost</f>
        <v>5754572.5304211192</v>
      </c>
      <c r="I270" s="125">
        <f ca="1">Table14[[#This Row],[Revenue]]-Table14[[#This Row],[Costs]]</f>
        <v>5754572.5304211192</v>
      </c>
    </row>
    <row r="271" spans="1:9">
      <c r="A271">
        <v>243</v>
      </c>
      <c r="B271">
        <f t="shared" ca="1" si="7"/>
        <v>0.95722911421869716</v>
      </c>
      <c r="C271" s="51">
        <f ca="1">_xlfn.NORM.INV(Table14[[#This Row],[Random '# for LT Demand]],Expected_LT_Demand,$F$8)*1000</f>
        <v>2110323.7105738618</v>
      </c>
      <c r="D271">
        <f t="shared" ca="1" si="8"/>
        <v>0.2716779139293154</v>
      </c>
      <c r="E271" s="55">
        <f ca="1">VLOOKUP(Table14[[#This Row],[Random '# for Share ]],$E$16:$F$21,2,TRUE)</f>
        <v>0.4</v>
      </c>
      <c r="F271" s="56">
        <f ca="1">Table14[[#This Row],[Lead Time Demand]]*Table14[[#This Row],[Share % 
(based on 
Random '#)]]</f>
        <v>844129.48422954476</v>
      </c>
      <c r="G271" s="124">
        <f ca="1">Table14[[#This Row],[Share of Lead Time Demand (Units)]]*Unit_price</f>
        <v>6753035.8738363581</v>
      </c>
      <c r="H271" s="125">
        <f ca="1">Table14[[#This Row],[Share of Lead Time Demand (Units)]]*Unit_cost</f>
        <v>3376517.936918179</v>
      </c>
      <c r="I271" s="125">
        <f ca="1">Table14[[#This Row],[Revenue]]-Table14[[#This Row],[Costs]]</f>
        <v>3376517.936918179</v>
      </c>
    </row>
    <row r="272" spans="1:9">
      <c r="A272">
        <v>244</v>
      </c>
      <c r="B272">
        <f t="shared" ca="1" si="7"/>
        <v>0.37001221483022262</v>
      </c>
      <c r="C272" s="51">
        <f ca="1">_xlfn.NORM.INV(Table14[[#This Row],[Random '# for LT Demand]],Expected_LT_Demand,$F$8)*1000</f>
        <v>1860937.4511623755</v>
      </c>
      <c r="D272">
        <f t="shared" ca="1" si="8"/>
        <v>0.83572159675525604</v>
      </c>
      <c r="E272" s="55">
        <f ca="1">VLOOKUP(Table14[[#This Row],[Random '# for Share ]],$E$16:$F$21,2,TRUE)</f>
        <v>0.7</v>
      </c>
      <c r="F272" s="56">
        <f ca="1">Table14[[#This Row],[Lead Time Demand]]*Table14[[#This Row],[Share % 
(based on 
Random '#)]]</f>
        <v>1302656.2158136629</v>
      </c>
      <c r="G272" s="124">
        <f ca="1">Table14[[#This Row],[Share of Lead Time Demand (Units)]]*Unit_price</f>
        <v>10421249.726509303</v>
      </c>
      <c r="H272" s="125">
        <f ca="1">Table14[[#This Row],[Share of Lead Time Demand (Units)]]*Unit_cost</f>
        <v>5210624.8632546514</v>
      </c>
      <c r="I272" s="125">
        <f ca="1">Table14[[#This Row],[Revenue]]-Table14[[#This Row],[Costs]]</f>
        <v>5210624.8632546514</v>
      </c>
    </row>
    <row r="273" spans="1:9">
      <c r="A273">
        <v>245</v>
      </c>
      <c r="B273">
        <f t="shared" ca="1" si="7"/>
        <v>0.33409161494154871</v>
      </c>
      <c r="C273" s="51">
        <f ca="1">_xlfn.NORM.INV(Table14[[#This Row],[Random '# for LT Demand]],Expected_LT_Demand,$F$8)*1000</f>
        <v>1849165.9118094661</v>
      </c>
      <c r="D273">
        <f t="shared" ca="1" si="8"/>
        <v>0.59788866655686757</v>
      </c>
      <c r="E273" s="55">
        <f ca="1">VLOOKUP(Table14[[#This Row],[Random '# for Share ]],$E$16:$F$21,2,TRUE)</f>
        <v>0.6</v>
      </c>
      <c r="F273" s="56">
        <f ca="1">Table14[[#This Row],[Lead Time Demand]]*Table14[[#This Row],[Share % 
(based on 
Random '#)]]</f>
        <v>1109499.5470856796</v>
      </c>
      <c r="G273" s="124">
        <f ca="1">Table14[[#This Row],[Share of Lead Time Demand (Units)]]*Unit_price</f>
        <v>8875996.3766854368</v>
      </c>
      <c r="H273" s="125">
        <f ca="1">Table14[[#This Row],[Share of Lead Time Demand (Units)]]*Unit_cost</f>
        <v>4437998.1883427184</v>
      </c>
      <c r="I273" s="125">
        <f ca="1">Table14[[#This Row],[Revenue]]-Table14[[#This Row],[Costs]]</f>
        <v>4437998.1883427184</v>
      </c>
    </row>
    <row r="274" spans="1:9">
      <c r="A274">
        <v>246</v>
      </c>
      <c r="B274">
        <f t="shared" ca="1" si="7"/>
        <v>0.42214417674216564</v>
      </c>
      <c r="C274" s="51">
        <f ca="1">_xlfn.NORM.INV(Table14[[#This Row],[Random '# for LT Demand]],Expected_LT_Demand,$F$8)*1000</f>
        <v>1877400.5083558864</v>
      </c>
      <c r="D274">
        <f t="shared" ca="1" si="8"/>
        <v>0.65505604837631015</v>
      </c>
      <c r="E274" s="55">
        <f ca="1">VLOOKUP(Table14[[#This Row],[Random '# for Share ]],$E$16:$F$21,2,TRUE)</f>
        <v>0.6</v>
      </c>
      <c r="F274" s="56">
        <f ca="1">Table14[[#This Row],[Lead Time Demand]]*Table14[[#This Row],[Share % 
(based on 
Random '#)]]</f>
        <v>1126440.3050135318</v>
      </c>
      <c r="G274" s="124">
        <f ca="1">Table14[[#This Row],[Share of Lead Time Demand (Units)]]*Unit_price</f>
        <v>9011522.4401082546</v>
      </c>
      <c r="H274" s="125">
        <f ca="1">Table14[[#This Row],[Share of Lead Time Demand (Units)]]*Unit_cost</f>
        <v>4505761.2200541273</v>
      </c>
      <c r="I274" s="125">
        <f ca="1">Table14[[#This Row],[Revenue]]-Table14[[#This Row],[Costs]]</f>
        <v>4505761.2200541273</v>
      </c>
    </row>
    <row r="275" spans="1:9">
      <c r="A275">
        <v>247</v>
      </c>
      <c r="B275">
        <f t="shared" ca="1" si="7"/>
        <v>0.3765026278709207</v>
      </c>
      <c r="C275" s="51">
        <f ca="1">_xlfn.NORM.INV(Table14[[#This Row],[Random '# for LT Demand]],Expected_LT_Demand,$F$8)*1000</f>
        <v>1863021.5446307631</v>
      </c>
      <c r="D275">
        <f t="shared" ca="1" si="8"/>
        <v>0.51522786407729537</v>
      </c>
      <c r="E275" s="55">
        <f ca="1">VLOOKUP(Table14[[#This Row],[Random '# for Share ]],$E$16:$F$21,2,TRUE)</f>
        <v>0.6</v>
      </c>
      <c r="F275" s="56">
        <f ca="1">Table14[[#This Row],[Lead Time Demand]]*Table14[[#This Row],[Share % 
(based on 
Random '#)]]</f>
        <v>1117812.9267784578</v>
      </c>
      <c r="G275" s="124">
        <f ca="1">Table14[[#This Row],[Share of Lead Time Demand (Units)]]*Unit_price</f>
        <v>8942503.4142276626</v>
      </c>
      <c r="H275" s="125">
        <f ca="1">Table14[[#This Row],[Share of Lead Time Demand (Units)]]*Unit_cost</f>
        <v>4471251.7071138313</v>
      </c>
      <c r="I275" s="125">
        <f ca="1">Table14[[#This Row],[Revenue]]-Table14[[#This Row],[Costs]]</f>
        <v>4471251.7071138313</v>
      </c>
    </row>
    <row r="276" spans="1:9">
      <c r="A276">
        <v>248</v>
      </c>
      <c r="B276">
        <f t="shared" ca="1" si="7"/>
        <v>0.59787926278869974</v>
      </c>
      <c r="C276" s="51">
        <f ca="1">_xlfn.NORM.INV(Table14[[#This Row],[Random '# for LT Demand]],Expected_LT_Demand,$F$8)*1000</f>
        <v>1931414.9672695554</v>
      </c>
      <c r="D276">
        <f t="shared" ca="1" si="8"/>
        <v>0.56896161736270168</v>
      </c>
      <c r="E276" s="55">
        <f ca="1">VLOOKUP(Table14[[#This Row],[Random '# for Share ]],$E$16:$F$21,2,TRUE)</f>
        <v>0.6</v>
      </c>
      <c r="F276" s="56">
        <f ca="1">Table14[[#This Row],[Lead Time Demand]]*Table14[[#This Row],[Share % 
(based on 
Random '#)]]</f>
        <v>1158848.9803617331</v>
      </c>
      <c r="G276" s="124">
        <f ca="1">Table14[[#This Row],[Share of Lead Time Demand (Units)]]*Unit_price</f>
        <v>9270791.842893865</v>
      </c>
      <c r="H276" s="125">
        <f ca="1">Table14[[#This Row],[Share of Lead Time Demand (Units)]]*Unit_cost</f>
        <v>4635395.9214469325</v>
      </c>
      <c r="I276" s="125">
        <f ca="1">Table14[[#This Row],[Revenue]]-Table14[[#This Row],[Costs]]</f>
        <v>4635395.9214469325</v>
      </c>
    </row>
    <row r="277" spans="1:9">
      <c r="A277">
        <v>249</v>
      </c>
      <c r="B277">
        <f t="shared" ca="1" si="7"/>
        <v>0.68508901465087479</v>
      </c>
      <c r="C277" s="51">
        <f ca="1">_xlfn.NORM.INV(Table14[[#This Row],[Random '# for LT Demand]],Expected_LT_Demand,$F$8)*1000</f>
        <v>1959878.6489351129</v>
      </c>
      <c r="D277">
        <f t="shared" ca="1" si="8"/>
        <v>0.63120938491390466</v>
      </c>
      <c r="E277" s="55">
        <f ca="1">VLOOKUP(Table14[[#This Row],[Random '# for Share ]],$E$16:$F$21,2,TRUE)</f>
        <v>0.6</v>
      </c>
      <c r="F277" s="56">
        <f ca="1">Table14[[#This Row],[Lead Time Demand]]*Table14[[#This Row],[Share % 
(based on 
Random '#)]]</f>
        <v>1175927.1893610677</v>
      </c>
      <c r="G277" s="124">
        <f ca="1">Table14[[#This Row],[Share of Lead Time Demand (Units)]]*Unit_price</f>
        <v>9407417.5148885418</v>
      </c>
      <c r="H277" s="125">
        <f ca="1">Table14[[#This Row],[Share of Lead Time Demand (Units)]]*Unit_cost</f>
        <v>4703708.7574442709</v>
      </c>
      <c r="I277" s="125">
        <f ca="1">Table14[[#This Row],[Revenue]]-Table14[[#This Row],[Costs]]</f>
        <v>4703708.7574442709</v>
      </c>
    </row>
    <row r="278" spans="1:9">
      <c r="A278">
        <v>250</v>
      </c>
      <c r="B278">
        <f t="shared" ca="1" si="7"/>
        <v>0.48906210212327117</v>
      </c>
      <c r="C278" s="51">
        <f ca="1">_xlfn.NORM.INV(Table14[[#This Row],[Random '# for LT Demand]],Expected_LT_Demand,$F$8)*1000</f>
        <v>1897946.2857889624</v>
      </c>
      <c r="D278">
        <f t="shared" ca="1" si="8"/>
        <v>0.8924055671586536</v>
      </c>
      <c r="E278" s="55">
        <f ca="1">VLOOKUP(Table14[[#This Row],[Random '# for Share ]],$E$16:$F$21,2,TRUE)</f>
        <v>0.7</v>
      </c>
      <c r="F278" s="56">
        <f ca="1">Table14[[#This Row],[Lead Time Demand]]*Table14[[#This Row],[Share % 
(based on 
Random '#)]]</f>
        <v>1328562.4000522736</v>
      </c>
      <c r="G278" s="124">
        <f ca="1">Table14[[#This Row],[Share of Lead Time Demand (Units)]]*Unit_price</f>
        <v>10628499.200418189</v>
      </c>
      <c r="H278" s="125">
        <f ca="1">Table14[[#This Row],[Share of Lead Time Demand (Units)]]*Unit_cost</f>
        <v>5314249.6002090946</v>
      </c>
      <c r="I278" s="125">
        <f ca="1">Table14[[#This Row],[Revenue]]-Table14[[#This Row],[Costs]]</f>
        <v>5314249.6002090946</v>
      </c>
    </row>
    <row r="279" spans="1:9">
      <c r="E279" s="126"/>
      <c r="F279" s="81"/>
      <c r="G279" s="124"/>
      <c r="H279" s="53"/>
      <c r="I279" s="127"/>
    </row>
    <row r="280" spans="1:9">
      <c r="E280" s="126"/>
      <c r="F280" s="81"/>
      <c r="G280" s="124"/>
      <c r="H280" s="53"/>
      <c r="I280" s="127"/>
    </row>
    <row r="281" spans="1:9">
      <c r="E281" s="126"/>
      <c r="F281" s="81"/>
      <c r="G281" s="124"/>
      <c r="H281" s="53"/>
      <c r="I281" s="127"/>
    </row>
    <row r="282" spans="1:9">
      <c r="E282" s="126"/>
      <c r="F282" s="81"/>
      <c r="G282" s="124"/>
      <c r="H282" s="53"/>
      <c r="I282" s="127"/>
    </row>
    <row r="283" spans="1:9">
      <c r="E283" s="126"/>
      <c r="F283" s="81"/>
      <c r="G283" s="124"/>
      <c r="H283" s="53"/>
      <c r="I283" s="127"/>
    </row>
    <row r="284" spans="1:9">
      <c r="E284" s="126"/>
      <c r="F284" s="81"/>
      <c r="G284" s="124"/>
      <c r="H284" s="53"/>
      <c r="I284" s="127"/>
    </row>
    <row r="285" spans="1:9">
      <c r="E285" s="126"/>
      <c r="F285" s="81"/>
      <c r="G285" s="124"/>
      <c r="H285" s="53"/>
      <c r="I285" s="127"/>
    </row>
    <row r="286" spans="1:9">
      <c r="E286" s="126"/>
      <c r="F286" s="81"/>
      <c r="G286" s="124"/>
      <c r="H286" s="53"/>
      <c r="I286" s="127"/>
    </row>
    <row r="287" spans="1:9">
      <c r="E287" s="126"/>
      <c r="F287" s="81"/>
      <c r="G287" s="124"/>
      <c r="H287" s="53"/>
      <c r="I287" s="127"/>
    </row>
    <row r="288" spans="1:9">
      <c r="E288" s="126"/>
      <c r="F288" s="81"/>
      <c r="G288" s="124"/>
      <c r="H288" s="53"/>
      <c r="I288" s="127"/>
    </row>
    <row r="289" spans="5:9">
      <c r="E289" s="126"/>
      <c r="F289" s="81"/>
      <c r="G289" s="124"/>
      <c r="H289" s="53"/>
      <c r="I289" s="127"/>
    </row>
    <row r="290" spans="5:9">
      <c r="E290" s="126"/>
      <c r="F290" s="81"/>
      <c r="G290" s="124"/>
      <c r="H290" s="53"/>
      <c r="I290" s="127"/>
    </row>
    <row r="291" spans="5:9">
      <c r="E291" s="126"/>
      <c r="F291" s="81"/>
      <c r="G291" s="124"/>
      <c r="H291" s="53"/>
      <c r="I291" s="127"/>
    </row>
    <row r="292" spans="5:9">
      <c r="E292" s="126"/>
      <c r="F292" s="81"/>
      <c r="G292" s="124"/>
      <c r="H292" s="53"/>
      <c r="I292" s="127"/>
    </row>
    <row r="293" spans="5:9">
      <c r="E293" s="126"/>
      <c r="F293" s="81"/>
      <c r="G293" s="124"/>
      <c r="H293" s="53"/>
      <c r="I293" s="127"/>
    </row>
    <row r="294" spans="5:9">
      <c r="E294" s="126"/>
      <c r="F294" s="81"/>
      <c r="G294" s="124"/>
      <c r="H294" s="53"/>
      <c r="I294" s="127"/>
    </row>
    <row r="295" spans="5:9">
      <c r="E295" s="126"/>
      <c r="F295" s="81"/>
      <c r="G295" s="124"/>
      <c r="H295" s="53"/>
      <c r="I295" s="127"/>
    </row>
    <row r="296" spans="5:9">
      <c r="E296" s="126"/>
      <c r="F296" s="81"/>
      <c r="G296" s="124"/>
      <c r="H296" s="53"/>
      <c r="I296" s="127"/>
    </row>
    <row r="297" spans="5:9">
      <c r="E297" s="126"/>
      <c r="F297" s="81"/>
      <c r="G297" s="124"/>
      <c r="H297" s="53"/>
      <c r="I297" s="127"/>
    </row>
    <row r="298" spans="5:9">
      <c r="E298" s="126"/>
      <c r="F298" s="81"/>
      <c r="G298" s="124"/>
      <c r="H298" s="53"/>
      <c r="I298" s="127"/>
    </row>
    <row r="299" spans="5:9">
      <c r="E299" s="126"/>
      <c r="F299" s="81"/>
      <c r="G299" s="124"/>
      <c r="H299" s="53"/>
      <c r="I299" s="127"/>
    </row>
    <row r="300" spans="5:9">
      <c r="E300" s="126"/>
      <c r="F300" s="81"/>
      <c r="G300" s="124"/>
      <c r="H300" s="53"/>
      <c r="I300" s="127"/>
    </row>
    <row r="301" spans="5:9">
      <c r="E301" s="126"/>
      <c r="F301" s="81"/>
      <c r="G301" s="124"/>
      <c r="H301" s="53"/>
      <c r="I301" s="127"/>
    </row>
    <row r="302" spans="5:9">
      <c r="E302" s="126"/>
      <c r="F302" s="81"/>
      <c r="G302" s="124"/>
      <c r="H302" s="53"/>
      <c r="I302" s="127"/>
    </row>
    <row r="303" spans="5:9">
      <c r="E303" s="126"/>
      <c r="F303" s="81"/>
      <c r="G303" s="124"/>
      <c r="H303" s="53"/>
      <c r="I303" s="127"/>
    </row>
    <row r="304" spans="5:9">
      <c r="E304" s="126"/>
      <c r="F304" s="81"/>
      <c r="G304" s="124"/>
      <c r="H304" s="53"/>
      <c r="I304" s="127"/>
    </row>
    <row r="305" spans="5:9">
      <c r="E305" s="126"/>
      <c r="F305" s="81"/>
      <c r="G305" s="124"/>
      <c r="H305" s="53"/>
      <c r="I305" s="127"/>
    </row>
    <row r="306" spans="5:9">
      <c r="E306" s="126"/>
      <c r="F306" s="81"/>
      <c r="G306" s="124"/>
      <c r="H306" s="53"/>
      <c r="I306" s="127"/>
    </row>
    <row r="307" spans="5:9">
      <c r="E307" s="126"/>
      <c r="F307" s="81"/>
      <c r="G307" s="124"/>
      <c r="H307" s="53"/>
      <c r="I307" s="127"/>
    </row>
    <row r="308" spans="5:9">
      <c r="E308" s="126"/>
      <c r="F308" s="81"/>
      <c r="G308" s="124"/>
      <c r="H308" s="53"/>
      <c r="I308" s="127"/>
    </row>
    <row r="309" spans="5:9">
      <c r="E309" s="126"/>
      <c r="F309" s="81"/>
      <c r="G309" s="124"/>
      <c r="H309" s="53"/>
      <c r="I309" s="127"/>
    </row>
    <row r="310" spans="5:9">
      <c r="E310" s="126"/>
      <c r="F310" s="81"/>
      <c r="G310" s="124"/>
      <c r="H310" s="53"/>
      <c r="I310" s="127"/>
    </row>
    <row r="311" spans="5:9">
      <c r="E311" s="126"/>
      <c r="F311" s="81"/>
      <c r="G311" s="124"/>
      <c r="H311" s="53"/>
      <c r="I311" s="127"/>
    </row>
    <row r="312" spans="5:9">
      <c r="E312" s="126"/>
      <c r="F312" s="81"/>
      <c r="G312" s="124"/>
      <c r="H312" s="53"/>
      <c r="I312" s="127"/>
    </row>
    <row r="313" spans="5:9">
      <c r="E313" s="126"/>
      <c r="F313" s="81"/>
      <c r="G313" s="124"/>
      <c r="H313" s="53"/>
      <c r="I313" s="127"/>
    </row>
    <row r="314" spans="5:9">
      <c r="E314" s="126"/>
      <c r="F314" s="81"/>
      <c r="G314" s="124"/>
      <c r="H314" s="53"/>
      <c r="I314" s="127"/>
    </row>
    <row r="315" spans="5:9">
      <c r="E315" s="126"/>
      <c r="F315" s="81"/>
      <c r="G315" s="124"/>
      <c r="H315" s="53"/>
      <c r="I315" s="127"/>
    </row>
    <row r="316" spans="5:9">
      <c r="E316" s="126"/>
      <c r="F316" s="81"/>
      <c r="G316" s="124"/>
      <c r="H316" s="53"/>
      <c r="I316" s="127"/>
    </row>
    <row r="317" spans="5:9">
      <c r="E317" s="126"/>
      <c r="F317" s="81"/>
      <c r="G317" s="124"/>
      <c r="H317" s="53"/>
      <c r="I317" s="127"/>
    </row>
    <row r="318" spans="5:9">
      <c r="E318" s="126"/>
      <c r="F318" s="81"/>
      <c r="G318" s="124"/>
      <c r="H318" s="53"/>
      <c r="I318" s="127"/>
    </row>
    <row r="319" spans="5:9">
      <c r="E319" s="126"/>
      <c r="F319" s="81"/>
      <c r="G319" s="124"/>
      <c r="H319" s="53"/>
      <c r="I319" s="127"/>
    </row>
    <row r="320" spans="5:9">
      <c r="E320" s="126"/>
      <c r="F320" s="81"/>
      <c r="G320" s="124"/>
      <c r="H320" s="53"/>
      <c r="I320" s="127"/>
    </row>
    <row r="321" spans="5:9">
      <c r="E321" s="126"/>
      <c r="F321" s="81"/>
      <c r="G321" s="124"/>
      <c r="H321" s="53"/>
      <c r="I321" s="127"/>
    </row>
    <row r="322" spans="5:9">
      <c r="E322" s="126"/>
      <c r="F322" s="81"/>
      <c r="G322" s="124"/>
      <c r="H322" s="53"/>
      <c r="I322" s="127"/>
    </row>
    <row r="323" spans="5:9">
      <c r="E323" s="126"/>
      <c r="F323" s="81"/>
      <c r="G323" s="124"/>
      <c r="H323" s="53"/>
      <c r="I323" s="127"/>
    </row>
    <row r="324" spans="5:9">
      <c r="E324" s="126"/>
      <c r="F324" s="81"/>
      <c r="G324" s="124"/>
      <c r="H324" s="53"/>
      <c r="I324" s="127"/>
    </row>
    <row r="325" spans="5:9">
      <c r="E325" s="126"/>
      <c r="F325" s="81"/>
      <c r="G325" s="124"/>
      <c r="H325" s="53"/>
      <c r="I325" s="127"/>
    </row>
    <row r="326" spans="5:9">
      <c r="E326" s="126"/>
      <c r="F326" s="81"/>
      <c r="G326" s="124"/>
      <c r="H326" s="53"/>
      <c r="I326" s="127"/>
    </row>
    <row r="327" spans="5:9">
      <c r="E327" s="126"/>
      <c r="F327" s="81"/>
      <c r="G327" s="124"/>
      <c r="H327" s="53"/>
      <c r="I327" s="127"/>
    </row>
    <row r="328" spans="5:9">
      <c r="E328" s="126"/>
      <c r="F328" s="81"/>
      <c r="G328" s="124"/>
      <c r="H328" s="53"/>
      <c r="I328" s="127"/>
    </row>
    <row r="329" spans="5:9">
      <c r="E329" s="126"/>
      <c r="F329" s="81"/>
      <c r="G329" s="124"/>
      <c r="H329" s="53"/>
      <c r="I329" s="127"/>
    </row>
    <row r="330" spans="5:9">
      <c r="E330" s="126"/>
      <c r="F330" s="81"/>
      <c r="G330" s="124"/>
      <c r="H330" s="53"/>
      <c r="I330" s="127"/>
    </row>
    <row r="331" spans="5:9">
      <c r="E331" s="126"/>
      <c r="F331" s="81"/>
      <c r="G331" s="124"/>
      <c r="H331" s="53"/>
      <c r="I331" s="127"/>
    </row>
    <row r="332" spans="5:9">
      <c r="E332" s="126"/>
      <c r="F332" s="81"/>
      <c r="G332" s="124"/>
      <c r="H332" s="53"/>
      <c r="I332" s="127"/>
    </row>
    <row r="333" spans="5:9">
      <c r="E333" s="126"/>
      <c r="F333" s="81"/>
      <c r="G333" s="124"/>
      <c r="H333" s="53"/>
      <c r="I333" s="127"/>
    </row>
    <row r="334" spans="5:9">
      <c r="E334" s="126"/>
      <c r="F334" s="81"/>
      <c r="G334" s="124"/>
      <c r="H334" s="53"/>
      <c r="I334" s="127"/>
    </row>
    <row r="335" spans="5:9">
      <c r="E335" s="126"/>
      <c r="F335" s="81"/>
      <c r="G335" s="124"/>
      <c r="H335" s="53"/>
      <c r="I335" s="127"/>
    </row>
    <row r="336" spans="5:9">
      <c r="E336" s="126"/>
      <c r="F336" s="81"/>
      <c r="G336" s="124"/>
      <c r="H336" s="53"/>
      <c r="I336" s="127"/>
    </row>
    <row r="337" spans="5:9">
      <c r="E337" s="126"/>
      <c r="F337" s="81"/>
      <c r="G337" s="124"/>
      <c r="H337" s="53"/>
      <c r="I337" s="127"/>
    </row>
    <row r="338" spans="5:9">
      <c r="E338" s="126"/>
      <c r="F338" s="81"/>
      <c r="G338" s="124"/>
      <c r="H338" s="53"/>
      <c r="I338" s="127"/>
    </row>
    <row r="339" spans="5:9">
      <c r="E339" s="126"/>
      <c r="F339" s="81"/>
      <c r="G339" s="124"/>
      <c r="H339" s="53"/>
      <c r="I339" s="127"/>
    </row>
    <row r="340" spans="5:9">
      <c r="E340" s="126"/>
      <c r="F340" s="81"/>
      <c r="G340" s="124"/>
      <c r="H340" s="53"/>
      <c r="I340" s="127"/>
    </row>
    <row r="341" spans="5:9">
      <c r="E341" s="126"/>
      <c r="F341" s="81"/>
      <c r="G341" s="124"/>
      <c r="H341" s="53"/>
      <c r="I341" s="127"/>
    </row>
    <row r="342" spans="5:9">
      <c r="E342" s="126"/>
      <c r="F342" s="81"/>
      <c r="G342" s="124"/>
      <c r="H342" s="53"/>
      <c r="I342" s="127"/>
    </row>
    <row r="343" spans="5:9">
      <c r="E343" s="126"/>
      <c r="F343" s="81"/>
      <c r="G343" s="124"/>
      <c r="H343" s="53"/>
      <c r="I343" s="127"/>
    </row>
    <row r="344" spans="5:9">
      <c r="E344" s="126"/>
      <c r="F344" s="81"/>
      <c r="G344" s="124"/>
      <c r="H344" s="53"/>
      <c r="I344" s="127"/>
    </row>
    <row r="345" spans="5:9">
      <c r="E345" s="126"/>
      <c r="F345" s="81"/>
      <c r="G345" s="124"/>
      <c r="H345" s="53"/>
      <c r="I345" s="127"/>
    </row>
    <row r="346" spans="5:9">
      <c r="E346" s="126"/>
      <c r="F346" s="81"/>
      <c r="G346" s="124"/>
      <c r="H346" s="53"/>
      <c r="I346" s="127"/>
    </row>
    <row r="347" spans="5:9">
      <c r="E347" s="126"/>
      <c r="F347" s="81"/>
      <c r="G347" s="124"/>
      <c r="H347" s="53"/>
      <c r="I347" s="127"/>
    </row>
    <row r="348" spans="5:9">
      <c r="E348" s="126"/>
      <c r="F348" s="81"/>
      <c r="G348" s="124"/>
      <c r="H348" s="53"/>
      <c r="I348" s="127"/>
    </row>
    <row r="349" spans="5:9">
      <c r="E349" s="126"/>
      <c r="F349" s="81"/>
      <c r="G349" s="124"/>
      <c r="H349" s="53"/>
      <c r="I349" s="127"/>
    </row>
    <row r="350" spans="5:9">
      <c r="E350" s="126"/>
      <c r="F350" s="81"/>
      <c r="G350" s="124"/>
      <c r="H350" s="53"/>
      <c r="I350" s="127"/>
    </row>
    <row r="351" spans="5:9">
      <c r="E351" s="126"/>
      <c r="F351" s="81"/>
      <c r="G351" s="124"/>
      <c r="H351" s="53"/>
      <c r="I351" s="127"/>
    </row>
    <row r="352" spans="5:9">
      <c r="E352" s="126"/>
      <c r="F352" s="81"/>
      <c r="G352" s="124"/>
      <c r="H352" s="53"/>
      <c r="I352" s="127"/>
    </row>
    <row r="353" spans="5:9">
      <c r="E353" s="126"/>
      <c r="F353" s="81"/>
      <c r="G353" s="124"/>
      <c r="H353" s="53"/>
      <c r="I353" s="127"/>
    </row>
    <row r="354" spans="5:9">
      <c r="E354" s="126"/>
      <c r="F354" s="81"/>
      <c r="G354" s="124"/>
      <c r="H354" s="53"/>
      <c r="I354" s="127"/>
    </row>
    <row r="355" spans="5:9">
      <c r="E355" s="126"/>
      <c r="F355" s="81"/>
      <c r="G355" s="124"/>
      <c r="H355" s="53"/>
      <c r="I355" s="127"/>
    </row>
    <row r="356" spans="5:9">
      <c r="E356" s="126"/>
      <c r="F356" s="81"/>
      <c r="G356" s="124"/>
      <c r="H356" s="53"/>
      <c r="I356" s="127"/>
    </row>
    <row r="357" spans="5:9">
      <c r="E357" s="126"/>
      <c r="F357" s="81"/>
      <c r="G357" s="124"/>
      <c r="H357" s="53"/>
      <c r="I357" s="127"/>
    </row>
    <row r="358" spans="5:9">
      <c r="E358" s="126"/>
      <c r="F358" s="81"/>
      <c r="G358" s="124"/>
      <c r="H358" s="53"/>
      <c r="I358" s="127"/>
    </row>
    <row r="359" spans="5:9">
      <c r="E359" s="126"/>
      <c r="F359" s="81"/>
      <c r="G359" s="124"/>
      <c r="H359" s="53"/>
      <c r="I359" s="127"/>
    </row>
    <row r="360" spans="5:9">
      <c r="E360" s="126"/>
      <c r="F360" s="81"/>
      <c r="G360" s="124"/>
      <c r="H360" s="53"/>
      <c r="I360" s="127"/>
    </row>
    <row r="361" spans="5:9">
      <c r="E361" s="126"/>
      <c r="F361" s="81"/>
      <c r="G361" s="124"/>
      <c r="H361" s="53"/>
      <c r="I361" s="127"/>
    </row>
    <row r="362" spans="5:9">
      <c r="E362" s="126"/>
      <c r="F362" s="81"/>
      <c r="G362" s="124"/>
      <c r="H362" s="53"/>
      <c r="I362" s="127"/>
    </row>
    <row r="363" spans="5:9">
      <c r="E363" s="126"/>
      <c r="F363" s="81"/>
      <c r="G363" s="124"/>
      <c r="H363" s="53"/>
      <c r="I363" s="127"/>
    </row>
    <row r="364" spans="5:9">
      <c r="E364" s="126"/>
      <c r="F364" s="81"/>
      <c r="G364" s="124"/>
      <c r="H364" s="53"/>
      <c r="I364" s="127"/>
    </row>
    <row r="365" spans="5:9">
      <c r="E365" s="126"/>
      <c r="F365" s="81"/>
      <c r="G365" s="124"/>
      <c r="H365" s="53"/>
      <c r="I365" s="127"/>
    </row>
    <row r="366" spans="5:9">
      <c r="E366" s="126"/>
      <c r="F366" s="81"/>
      <c r="G366" s="124"/>
      <c r="H366" s="53"/>
      <c r="I366" s="127"/>
    </row>
    <row r="367" spans="5:9">
      <c r="E367" s="126"/>
      <c r="F367" s="81"/>
      <c r="G367" s="124"/>
      <c r="H367" s="53"/>
      <c r="I367" s="127"/>
    </row>
    <row r="368" spans="5:9">
      <c r="E368" s="126"/>
      <c r="F368" s="81"/>
      <c r="G368" s="124"/>
      <c r="H368" s="53"/>
      <c r="I368" s="127"/>
    </row>
    <row r="369" spans="5:9">
      <c r="E369" s="126"/>
      <c r="F369" s="81"/>
      <c r="G369" s="124"/>
      <c r="H369" s="53"/>
      <c r="I369" s="127"/>
    </row>
    <row r="370" spans="5:9">
      <c r="E370" s="126"/>
      <c r="F370" s="81"/>
      <c r="G370" s="124"/>
      <c r="H370" s="53"/>
      <c r="I370" s="127"/>
    </row>
    <row r="371" spans="5:9">
      <c r="E371" s="126"/>
      <c r="F371" s="81"/>
      <c r="G371" s="124"/>
      <c r="H371" s="53"/>
      <c r="I371" s="127"/>
    </row>
    <row r="372" spans="5:9">
      <c r="E372" s="126"/>
      <c r="F372" s="81"/>
      <c r="G372" s="124"/>
      <c r="H372" s="53"/>
      <c r="I372" s="127"/>
    </row>
    <row r="373" spans="5:9">
      <c r="E373" s="126"/>
      <c r="F373" s="81"/>
      <c r="G373" s="124"/>
      <c r="H373" s="53"/>
      <c r="I373" s="127"/>
    </row>
    <row r="374" spans="5:9">
      <c r="E374" s="126"/>
      <c r="F374" s="81"/>
      <c r="G374" s="124"/>
      <c r="H374" s="53"/>
      <c r="I374" s="127"/>
    </row>
    <row r="375" spans="5:9">
      <c r="E375" s="126"/>
      <c r="F375" s="81"/>
      <c r="G375" s="124"/>
      <c r="H375" s="53"/>
      <c r="I375" s="127"/>
    </row>
    <row r="376" spans="5:9">
      <c r="E376" s="126"/>
      <c r="F376" s="81"/>
      <c r="G376" s="124"/>
      <c r="H376" s="53"/>
      <c r="I376" s="127"/>
    </row>
    <row r="377" spans="5:9">
      <c r="E377" s="126"/>
      <c r="F377" s="81"/>
      <c r="G377" s="124"/>
      <c r="H377" s="53"/>
      <c r="I377" s="127"/>
    </row>
    <row r="378" spans="5:9">
      <c r="E378" s="126"/>
      <c r="F378" s="81"/>
      <c r="G378" s="124"/>
      <c r="H378" s="53"/>
      <c r="I378" s="127"/>
    </row>
    <row r="379" spans="5:9">
      <c r="E379" s="126"/>
      <c r="F379" s="81"/>
      <c r="G379" s="124"/>
      <c r="H379" s="53"/>
      <c r="I379" s="127"/>
    </row>
    <row r="380" spans="5:9">
      <c r="E380" s="126"/>
      <c r="F380" s="81"/>
      <c r="G380" s="124"/>
      <c r="H380" s="53"/>
      <c r="I380" s="127"/>
    </row>
    <row r="381" spans="5:9">
      <c r="E381" s="126"/>
      <c r="F381" s="81"/>
      <c r="G381" s="124"/>
      <c r="H381" s="53"/>
      <c r="I381" s="127"/>
    </row>
    <row r="382" spans="5:9">
      <c r="E382" s="126"/>
      <c r="F382" s="81"/>
      <c r="G382" s="124"/>
      <c r="H382" s="53"/>
      <c r="I382" s="127"/>
    </row>
    <row r="383" spans="5:9">
      <c r="E383" s="126"/>
      <c r="F383" s="81"/>
      <c r="G383" s="124"/>
      <c r="H383" s="53"/>
      <c r="I383" s="127"/>
    </row>
    <row r="384" spans="5:9">
      <c r="E384" s="126"/>
      <c r="F384" s="81"/>
      <c r="G384" s="124"/>
      <c r="H384" s="53"/>
      <c r="I384" s="127"/>
    </row>
    <row r="385" spans="5:9">
      <c r="E385" s="126"/>
      <c r="F385" s="81"/>
      <c r="G385" s="124"/>
      <c r="H385" s="53"/>
      <c r="I385" s="127"/>
    </row>
    <row r="386" spans="5:9">
      <c r="E386" s="126"/>
      <c r="F386" s="81"/>
      <c r="G386" s="124"/>
      <c r="H386" s="53"/>
      <c r="I386" s="127"/>
    </row>
    <row r="387" spans="5:9">
      <c r="E387" s="126"/>
      <c r="F387" s="81"/>
      <c r="G387" s="124"/>
      <c r="H387" s="53"/>
      <c r="I387" s="127"/>
    </row>
    <row r="388" spans="5:9">
      <c r="E388" s="126"/>
      <c r="F388" s="81"/>
      <c r="G388" s="124"/>
      <c r="H388" s="53"/>
      <c r="I388" s="127"/>
    </row>
    <row r="389" spans="5:9">
      <c r="E389" s="126"/>
      <c r="F389" s="81"/>
      <c r="G389" s="124"/>
      <c r="H389" s="53"/>
      <c r="I389" s="127"/>
    </row>
    <row r="390" spans="5:9">
      <c r="E390" s="126"/>
      <c r="F390" s="81"/>
      <c r="G390" s="124"/>
      <c r="H390" s="53"/>
      <c r="I390" s="127"/>
    </row>
    <row r="391" spans="5:9">
      <c r="E391" s="126"/>
      <c r="F391" s="81"/>
      <c r="G391" s="124"/>
      <c r="H391" s="53"/>
      <c r="I391" s="127"/>
    </row>
    <row r="392" spans="5:9">
      <c r="E392" s="126"/>
      <c r="F392" s="81"/>
      <c r="G392" s="124"/>
      <c r="H392" s="53"/>
      <c r="I392" s="127"/>
    </row>
    <row r="393" spans="5:9">
      <c r="E393" s="126"/>
      <c r="F393" s="81"/>
      <c r="G393" s="124"/>
      <c r="H393" s="53"/>
      <c r="I393" s="127"/>
    </row>
    <row r="394" spans="5:9">
      <c r="E394" s="126"/>
      <c r="F394" s="81"/>
      <c r="G394" s="124"/>
      <c r="H394" s="53"/>
      <c r="I394" s="127"/>
    </row>
    <row r="395" spans="5:9">
      <c r="E395" s="126"/>
      <c r="F395" s="81"/>
      <c r="G395" s="124"/>
      <c r="H395" s="53"/>
      <c r="I395" s="127"/>
    </row>
    <row r="396" spans="5:9">
      <c r="E396" s="126"/>
      <c r="F396" s="81"/>
      <c r="G396" s="124"/>
      <c r="H396" s="53"/>
      <c r="I396" s="127"/>
    </row>
    <row r="397" spans="5:9">
      <c r="E397" s="126"/>
      <c r="F397" s="81"/>
      <c r="G397" s="124"/>
      <c r="H397" s="53"/>
      <c r="I397" s="127"/>
    </row>
    <row r="398" spans="5:9">
      <c r="E398" s="126"/>
      <c r="F398" s="81"/>
      <c r="G398" s="124"/>
      <c r="H398" s="53"/>
      <c r="I398" s="127"/>
    </row>
    <row r="399" spans="5:9">
      <c r="E399" s="126"/>
      <c r="F399" s="81"/>
      <c r="G399" s="124"/>
      <c r="H399" s="53"/>
      <c r="I399" s="127"/>
    </row>
    <row r="400" spans="5:9">
      <c r="E400" s="126"/>
      <c r="F400" s="81"/>
      <c r="G400" s="124"/>
      <c r="H400" s="53"/>
      <c r="I400" s="127"/>
    </row>
    <row r="401" spans="5:9">
      <c r="E401" s="126"/>
      <c r="F401" s="81"/>
      <c r="G401" s="124"/>
      <c r="H401" s="53"/>
      <c r="I401" s="127"/>
    </row>
    <row r="402" spans="5:9">
      <c r="E402" s="126"/>
      <c r="F402" s="81"/>
      <c r="G402" s="124"/>
      <c r="H402" s="53"/>
      <c r="I402" s="127"/>
    </row>
    <row r="403" spans="5:9">
      <c r="E403" s="126"/>
      <c r="F403" s="81"/>
      <c r="G403" s="124"/>
      <c r="H403" s="53"/>
      <c r="I403" s="127"/>
    </row>
    <row r="404" spans="5:9">
      <c r="E404" s="126"/>
      <c r="F404" s="81"/>
      <c r="G404" s="124"/>
      <c r="H404" s="53"/>
      <c r="I404" s="127"/>
    </row>
    <row r="405" spans="5:9">
      <c r="E405" s="126"/>
      <c r="F405" s="81"/>
      <c r="G405" s="124"/>
      <c r="H405" s="53"/>
      <c r="I405" s="127"/>
    </row>
    <row r="406" spans="5:9">
      <c r="E406" s="126"/>
      <c r="F406" s="81"/>
      <c r="G406" s="124"/>
      <c r="H406" s="53"/>
      <c r="I406" s="127"/>
    </row>
    <row r="407" spans="5:9">
      <c r="E407" s="126"/>
      <c r="F407" s="81"/>
      <c r="G407" s="124"/>
      <c r="H407" s="53"/>
      <c r="I407" s="127"/>
    </row>
    <row r="408" spans="5:9">
      <c r="E408" s="126"/>
      <c r="F408" s="81"/>
      <c r="G408" s="124"/>
      <c r="H408" s="53"/>
      <c r="I408" s="127"/>
    </row>
    <row r="409" spans="5:9">
      <c r="E409" s="126"/>
      <c r="F409" s="81"/>
      <c r="G409" s="124"/>
      <c r="H409" s="53"/>
      <c r="I409" s="127"/>
    </row>
    <row r="410" spans="5:9">
      <c r="E410" s="126"/>
      <c r="F410" s="81"/>
      <c r="G410" s="124"/>
      <c r="H410" s="53"/>
      <c r="I410" s="127"/>
    </row>
    <row r="411" spans="5:9">
      <c r="E411" s="126"/>
      <c r="F411" s="81"/>
      <c r="G411" s="124"/>
      <c r="H411" s="53"/>
      <c r="I411" s="127"/>
    </row>
    <row r="412" spans="5:9">
      <c r="E412" s="126"/>
      <c r="F412" s="81"/>
      <c r="G412" s="124"/>
      <c r="H412" s="53"/>
      <c r="I412" s="127"/>
    </row>
    <row r="413" spans="5:9">
      <c r="E413" s="126"/>
      <c r="F413" s="81"/>
      <c r="G413" s="124"/>
      <c r="H413" s="53"/>
      <c r="I413" s="127"/>
    </row>
    <row r="414" spans="5:9">
      <c r="E414" s="126"/>
      <c r="F414" s="81"/>
      <c r="G414" s="124"/>
      <c r="H414" s="53"/>
      <c r="I414" s="127"/>
    </row>
    <row r="415" spans="5:9">
      <c r="E415" s="126"/>
      <c r="F415" s="81"/>
      <c r="G415" s="124"/>
      <c r="H415" s="53"/>
      <c r="I415" s="127"/>
    </row>
    <row r="416" spans="5:9">
      <c r="E416" s="126"/>
      <c r="F416" s="81"/>
      <c r="G416" s="124"/>
      <c r="H416" s="53"/>
      <c r="I416" s="127"/>
    </row>
    <row r="417" spans="5:9">
      <c r="E417" s="126"/>
      <c r="F417" s="81"/>
      <c r="G417" s="124"/>
      <c r="H417" s="53"/>
      <c r="I417" s="127"/>
    </row>
    <row r="418" spans="5:9">
      <c r="E418" s="126"/>
      <c r="F418" s="81"/>
      <c r="G418" s="124"/>
      <c r="H418" s="53"/>
      <c r="I418" s="127"/>
    </row>
    <row r="419" spans="5:9">
      <c r="E419" s="126"/>
      <c r="F419" s="81"/>
      <c r="G419" s="124"/>
      <c r="H419" s="53"/>
      <c r="I419" s="127"/>
    </row>
    <row r="420" spans="5:9">
      <c r="E420" s="126"/>
      <c r="F420" s="81"/>
      <c r="G420" s="124"/>
      <c r="H420" s="53"/>
      <c r="I420" s="127"/>
    </row>
    <row r="421" spans="5:9">
      <c r="E421" s="126"/>
      <c r="F421" s="81"/>
      <c r="G421" s="124"/>
      <c r="H421" s="53"/>
      <c r="I421" s="127"/>
    </row>
    <row r="422" spans="5:9">
      <c r="E422" s="126"/>
      <c r="F422" s="81"/>
      <c r="G422" s="124"/>
      <c r="H422" s="53"/>
      <c r="I422" s="127"/>
    </row>
    <row r="423" spans="5:9">
      <c r="E423" s="126"/>
      <c r="F423" s="81"/>
      <c r="G423" s="124"/>
      <c r="H423" s="53"/>
      <c r="I423" s="127"/>
    </row>
    <row r="424" spans="5:9">
      <c r="E424" s="126"/>
      <c r="F424" s="81"/>
      <c r="G424" s="124"/>
      <c r="H424" s="53"/>
      <c r="I424" s="127"/>
    </row>
    <row r="425" spans="5:9">
      <c r="E425" s="126"/>
      <c r="F425" s="81"/>
      <c r="G425" s="124"/>
      <c r="H425" s="53"/>
      <c r="I425" s="127"/>
    </row>
    <row r="426" spans="5:9">
      <c r="E426" s="126"/>
      <c r="F426" s="81"/>
      <c r="G426" s="124"/>
      <c r="H426" s="53"/>
      <c r="I426" s="127"/>
    </row>
    <row r="427" spans="5:9">
      <c r="E427" s="126"/>
      <c r="F427" s="81"/>
      <c r="G427" s="124"/>
      <c r="H427" s="53"/>
      <c r="I427" s="127"/>
    </row>
    <row r="428" spans="5:9">
      <c r="E428" s="126"/>
      <c r="F428" s="81"/>
      <c r="G428" s="124"/>
      <c r="H428" s="53"/>
      <c r="I428" s="127"/>
    </row>
    <row r="429" spans="5:9">
      <c r="E429" s="126"/>
      <c r="F429" s="81"/>
      <c r="G429" s="124"/>
      <c r="H429" s="53"/>
      <c r="I429" s="127"/>
    </row>
    <row r="430" spans="5:9">
      <c r="E430" s="126"/>
      <c r="F430" s="81"/>
      <c r="G430" s="124"/>
      <c r="H430" s="53"/>
      <c r="I430" s="127"/>
    </row>
    <row r="431" spans="5:9">
      <c r="E431" s="126"/>
      <c r="F431" s="81"/>
      <c r="G431" s="124"/>
      <c r="H431" s="53"/>
      <c r="I431" s="127"/>
    </row>
    <row r="432" spans="5:9">
      <c r="E432" s="126"/>
      <c r="F432" s="81"/>
      <c r="G432" s="124"/>
      <c r="H432" s="53"/>
      <c r="I432" s="127"/>
    </row>
    <row r="433" spans="5:9">
      <c r="E433" s="126"/>
      <c r="F433" s="81"/>
      <c r="G433" s="124"/>
      <c r="H433" s="53"/>
      <c r="I433" s="127"/>
    </row>
    <row r="434" spans="5:9">
      <c r="E434" s="126"/>
      <c r="F434" s="81"/>
      <c r="G434" s="124"/>
      <c r="H434" s="53"/>
      <c r="I434" s="127"/>
    </row>
    <row r="435" spans="5:9">
      <c r="E435" s="126"/>
      <c r="F435" s="81"/>
      <c r="G435" s="124"/>
      <c r="H435" s="53"/>
      <c r="I435" s="127"/>
    </row>
    <row r="436" spans="5:9">
      <c r="E436" s="126"/>
      <c r="F436" s="81"/>
      <c r="G436" s="124"/>
      <c r="H436" s="53"/>
      <c r="I436" s="127"/>
    </row>
    <row r="437" spans="5:9">
      <c r="E437" s="126"/>
      <c r="F437" s="81"/>
      <c r="G437" s="124"/>
      <c r="H437" s="53"/>
      <c r="I437" s="127"/>
    </row>
    <row r="438" spans="5:9">
      <c r="E438" s="126"/>
      <c r="F438" s="81"/>
      <c r="G438" s="124"/>
      <c r="H438" s="53"/>
      <c r="I438" s="127"/>
    </row>
    <row r="439" spans="5:9">
      <c r="E439" s="126"/>
      <c r="F439" s="81"/>
      <c r="G439" s="124"/>
      <c r="H439" s="53"/>
      <c r="I439" s="127"/>
    </row>
    <row r="440" spans="5:9">
      <c r="E440" s="126"/>
      <c r="F440" s="81"/>
      <c r="G440" s="124"/>
      <c r="H440" s="53"/>
      <c r="I440" s="127"/>
    </row>
    <row r="441" spans="5:9">
      <c r="E441" s="126"/>
      <c r="F441" s="81"/>
      <c r="G441" s="124"/>
      <c r="H441" s="53"/>
      <c r="I441" s="127"/>
    </row>
    <row r="442" spans="5:9">
      <c r="E442" s="126"/>
      <c r="F442" s="81"/>
      <c r="G442" s="124"/>
      <c r="H442" s="53"/>
      <c r="I442" s="127"/>
    </row>
    <row r="443" spans="5:9">
      <c r="E443" s="126"/>
      <c r="F443" s="81"/>
      <c r="G443" s="124"/>
      <c r="H443" s="53"/>
      <c r="I443" s="127"/>
    </row>
    <row r="444" spans="5:9">
      <c r="E444" s="126"/>
      <c r="F444" s="81"/>
      <c r="G444" s="124"/>
      <c r="H444" s="53"/>
      <c r="I444" s="127"/>
    </row>
    <row r="445" spans="5:9">
      <c r="E445" s="126"/>
      <c r="F445" s="81"/>
      <c r="G445" s="124"/>
      <c r="H445" s="53"/>
      <c r="I445" s="127"/>
    </row>
    <row r="446" spans="5:9">
      <c r="E446" s="126"/>
      <c r="F446" s="81"/>
      <c r="G446" s="124"/>
      <c r="H446" s="53"/>
      <c r="I446" s="127"/>
    </row>
    <row r="447" spans="5:9">
      <c r="E447" s="126"/>
      <c r="F447" s="81"/>
      <c r="G447" s="124"/>
      <c r="H447" s="53"/>
      <c r="I447" s="127"/>
    </row>
    <row r="448" spans="5:9">
      <c r="E448" s="126"/>
      <c r="F448" s="81"/>
      <c r="G448" s="124"/>
      <c r="H448" s="53"/>
      <c r="I448" s="127"/>
    </row>
    <row r="449" spans="5:9">
      <c r="E449" s="126"/>
      <c r="F449" s="81"/>
      <c r="G449" s="124"/>
      <c r="H449" s="53"/>
      <c r="I449" s="127"/>
    </row>
    <row r="450" spans="5:9">
      <c r="E450" s="126"/>
      <c r="F450" s="81"/>
      <c r="G450" s="124"/>
      <c r="H450" s="53"/>
      <c r="I450" s="127"/>
    </row>
    <row r="451" spans="5:9">
      <c r="E451" s="126"/>
      <c r="F451" s="81"/>
      <c r="G451" s="124"/>
      <c r="H451" s="53"/>
      <c r="I451" s="127"/>
    </row>
    <row r="452" spans="5:9">
      <c r="E452" s="126"/>
      <c r="F452" s="81"/>
      <c r="G452" s="124"/>
      <c r="H452" s="53"/>
      <c r="I452" s="127"/>
    </row>
    <row r="453" spans="5:9">
      <c r="E453" s="126"/>
      <c r="F453" s="81"/>
      <c r="G453" s="124"/>
      <c r="H453" s="53"/>
      <c r="I453" s="127"/>
    </row>
    <row r="454" spans="5:9">
      <c r="E454" s="126"/>
      <c r="F454" s="81"/>
      <c r="G454" s="124"/>
      <c r="H454" s="53"/>
      <c r="I454" s="127"/>
    </row>
    <row r="455" spans="5:9">
      <c r="E455" s="126"/>
      <c r="F455" s="81"/>
      <c r="G455" s="124"/>
      <c r="H455" s="53"/>
      <c r="I455" s="127"/>
    </row>
    <row r="456" spans="5:9">
      <c r="E456" s="126"/>
      <c r="F456" s="81"/>
      <c r="G456" s="124"/>
      <c r="H456" s="53"/>
      <c r="I456" s="127"/>
    </row>
    <row r="457" spans="5:9">
      <c r="E457" s="126"/>
      <c r="F457" s="81"/>
      <c r="G457" s="124"/>
      <c r="H457" s="53"/>
      <c r="I457" s="127"/>
    </row>
    <row r="458" spans="5:9">
      <c r="E458" s="126"/>
      <c r="F458" s="81"/>
      <c r="G458" s="124"/>
      <c r="H458" s="53"/>
      <c r="I458" s="127"/>
    </row>
    <row r="459" spans="5:9">
      <c r="E459" s="126"/>
      <c r="F459" s="81"/>
      <c r="G459" s="124"/>
      <c r="H459" s="53"/>
      <c r="I459" s="127"/>
    </row>
    <row r="460" spans="5:9">
      <c r="E460" s="126"/>
      <c r="F460" s="81"/>
      <c r="G460" s="124"/>
      <c r="H460" s="53"/>
      <c r="I460" s="127"/>
    </row>
    <row r="461" spans="5:9">
      <c r="E461" s="126"/>
      <c r="F461" s="81"/>
      <c r="G461" s="124"/>
      <c r="H461" s="53"/>
      <c r="I461" s="127"/>
    </row>
    <row r="462" spans="5:9">
      <c r="E462" s="126"/>
      <c r="F462" s="81"/>
      <c r="G462" s="124"/>
      <c r="H462" s="53"/>
      <c r="I462" s="127"/>
    </row>
    <row r="463" spans="5:9">
      <c r="E463" s="126"/>
      <c r="F463" s="81"/>
      <c r="G463" s="124"/>
      <c r="H463" s="53"/>
      <c r="I463" s="127"/>
    </row>
    <row r="464" spans="5:9">
      <c r="E464" s="126"/>
      <c r="F464" s="81"/>
      <c r="G464" s="124"/>
      <c r="H464" s="53"/>
      <c r="I464" s="127"/>
    </row>
    <row r="465" spans="5:9">
      <c r="E465" s="126"/>
      <c r="F465" s="81"/>
      <c r="G465" s="124"/>
      <c r="H465" s="53"/>
      <c r="I465" s="127"/>
    </row>
    <row r="466" spans="5:9">
      <c r="E466" s="126"/>
      <c r="F466" s="81"/>
      <c r="G466" s="124"/>
      <c r="H466" s="53"/>
      <c r="I466" s="127"/>
    </row>
    <row r="467" spans="5:9">
      <c r="E467" s="126"/>
      <c r="F467" s="81"/>
      <c r="G467" s="124"/>
      <c r="H467" s="53"/>
      <c r="I467" s="127"/>
    </row>
    <row r="468" spans="5:9">
      <c r="E468" s="126"/>
      <c r="F468" s="81"/>
      <c r="G468" s="124"/>
      <c r="H468" s="53"/>
      <c r="I468" s="127"/>
    </row>
    <row r="469" spans="5:9">
      <c r="E469" s="126"/>
      <c r="F469" s="81"/>
      <c r="G469" s="124"/>
      <c r="H469" s="53"/>
      <c r="I469" s="127"/>
    </row>
    <row r="470" spans="5:9">
      <c r="E470" s="126"/>
      <c r="F470" s="81"/>
      <c r="G470" s="124"/>
      <c r="H470" s="53"/>
      <c r="I470" s="127"/>
    </row>
    <row r="471" spans="5:9">
      <c r="E471" s="126"/>
      <c r="F471" s="81"/>
      <c r="G471" s="124"/>
      <c r="H471" s="53"/>
      <c r="I471" s="127"/>
    </row>
    <row r="472" spans="5:9">
      <c r="E472" s="126"/>
      <c r="F472" s="81"/>
      <c r="G472" s="124"/>
      <c r="H472" s="53"/>
      <c r="I472" s="127"/>
    </row>
    <row r="473" spans="5:9">
      <c r="E473" s="126"/>
      <c r="F473" s="81"/>
      <c r="G473" s="124"/>
      <c r="H473" s="53"/>
      <c r="I473" s="127"/>
    </row>
    <row r="474" spans="5:9">
      <c r="E474" s="126"/>
      <c r="F474" s="81"/>
      <c r="G474" s="124"/>
      <c r="H474" s="53"/>
      <c r="I474" s="127"/>
    </row>
    <row r="475" spans="5:9">
      <c r="E475" s="126"/>
      <c r="F475" s="81"/>
      <c r="G475" s="124"/>
      <c r="H475" s="53"/>
      <c r="I475" s="127"/>
    </row>
    <row r="476" spans="5:9">
      <c r="E476" s="126"/>
      <c r="F476" s="81"/>
      <c r="G476" s="124"/>
      <c r="H476" s="53"/>
      <c r="I476" s="127"/>
    </row>
    <row r="477" spans="5:9">
      <c r="E477" s="126"/>
      <c r="F477" s="81"/>
      <c r="G477" s="124"/>
      <c r="H477" s="53"/>
      <c r="I477" s="127"/>
    </row>
    <row r="478" spans="5:9">
      <c r="E478" s="126"/>
      <c r="F478" s="81"/>
      <c r="G478" s="124"/>
      <c r="H478" s="53"/>
      <c r="I478" s="127"/>
    </row>
    <row r="479" spans="5:9">
      <c r="E479" s="126"/>
      <c r="F479" s="81"/>
      <c r="G479" s="124"/>
      <c r="H479" s="53"/>
      <c r="I479" s="127"/>
    </row>
    <row r="480" spans="5:9">
      <c r="E480" s="126"/>
      <c r="F480" s="81"/>
      <c r="G480" s="124"/>
      <c r="H480" s="53"/>
      <c r="I480" s="127"/>
    </row>
    <row r="481" spans="5:9">
      <c r="E481" s="126"/>
      <c r="F481" s="81"/>
      <c r="G481" s="124"/>
      <c r="H481" s="53"/>
      <c r="I481" s="127"/>
    </row>
    <row r="482" spans="5:9">
      <c r="E482" s="126"/>
      <c r="F482" s="81"/>
      <c r="G482" s="124"/>
      <c r="H482" s="53"/>
      <c r="I482" s="127"/>
    </row>
    <row r="483" spans="5:9">
      <c r="E483" s="126"/>
      <c r="F483" s="81"/>
      <c r="G483" s="124"/>
      <c r="H483" s="53"/>
      <c r="I483" s="127"/>
    </row>
    <row r="484" spans="5:9">
      <c r="E484" s="126"/>
      <c r="F484" s="81"/>
      <c r="G484" s="124"/>
      <c r="H484" s="53"/>
      <c r="I484" s="127"/>
    </row>
    <row r="485" spans="5:9">
      <c r="E485" s="126"/>
      <c r="F485" s="81"/>
      <c r="G485" s="124"/>
      <c r="H485" s="53"/>
      <c r="I485" s="127"/>
    </row>
    <row r="486" spans="5:9">
      <c r="E486" s="126"/>
      <c r="F486" s="81"/>
      <c r="G486" s="124"/>
      <c r="H486" s="53"/>
      <c r="I486" s="127"/>
    </row>
    <row r="487" spans="5:9">
      <c r="E487" s="126"/>
      <c r="F487" s="81"/>
      <c r="G487" s="124"/>
      <c r="H487" s="53"/>
      <c r="I487" s="127"/>
    </row>
    <row r="488" spans="5:9">
      <c r="E488" s="126"/>
      <c r="F488" s="81"/>
      <c r="G488" s="124"/>
      <c r="H488" s="53"/>
      <c r="I488" s="127"/>
    </row>
    <row r="489" spans="5:9">
      <c r="E489" s="126"/>
      <c r="F489" s="81"/>
      <c r="G489" s="124"/>
      <c r="H489" s="53"/>
      <c r="I489" s="127"/>
    </row>
    <row r="490" spans="5:9">
      <c r="E490" s="126"/>
      <c r="F490" s="81"/>
      <c r="G490" s="124"/>
      <c r="H490" s="53"/>
      <c r="I490" s="127"/>
    </row>
    <row r="491" spans="5:9">
      <c r="E491" s="126"/>
      <c r="F491" s="81"/>
      <c r="G491" s="124"/>
      <c r="H491" s="53"/>
      <c r="I491" s="127"/>
    </row>
    <row r="492" spans="5:9">
      <c r="E492" s="126"/>
      <c r="F492" s="81"/>
      <c r="G492" s="124"/>
      <c r="H492" s="53"/>
      <c r="I492" s="127"/>
    </row>
    <row r="493" spans="5:9">
      <c r="E493" s="126"/>
      <c r="F493" s="81"/>
      <c r="G493" s="124"/>
      <c r="H493" s="53"/>
      <c r="I493" s="127"/>
    </row>
    <row r="494" spans="5:9">
      <c r="E494" s="126"/>
      <c r="F494" s="81"/>
      <c r="G494" s="124"/>
      <c r="H494" s="53"/>
      <c r="I494" s="127"/>
    </row>
    <row r="495" spans="5:9">
      <c r="E495" s="126"/>
      <c r="F495" s="81"/>
      <c r="G495" s="124"/>
      <c r="H495" s="53"/>
      <c r="I495" s="127"/>
    </row>
    <row r="496" spans="5:9">
      <c r="E496" s="126"/>
      <c r="F496" s="81"/>
      <c r="G496" s="124"/>
      <c r="H496" s="53"/>
      <c r="I496" s="127"/>
    </row>
    <row r="497" spans="5:9">
      <c r="E497" s="126"/>
      <c r="F497" s="81"/>
      <c r="G497" s="124"/>
      <c r="H497" s="53"/>
      <c r="I497" s="127"/>
    </row>
    <row r="498" spans="5:9">
      <c r="E498" s="126"/>
      <c r="F498" s="81"/>
      <c r="G498" s="124"/>
      <c r="H498" s="53"/>
      <c r="I498" s="127"/>
    </row>
    <row r="499" spans="5:9">
      <c r="E499" s="126"/>
      <c r="F499" s="81"/>
      <c r="G499" s="124"/>
      <c r="H499" s="53"/>
      <c r="I499" s="127"/>
    </row>
    <row r="500" spans="5:9">
      <c r="E500" s="126"/>
      <c r="F500" s="81"/>
      <c r="G500" s="124"/>
      <c r="H500" s="53"/>
      <c r="I500" s="127"/>
    </row>
    <row r="501" spans="5:9">
      <c r="E501" s="126"/>
      <c r="F501" s="81"/>
      <c r="G501" s="124"/>
      <c r="H501" s="53"/>
      <c r="I501" s="127"/>
    </row>
    <row r="502" spans="5:9">
      <c r="E502" s="126"/>
      <c r="F502" s="81"/>
      <c r="G502" s="124"/>
      <c r="H502" s="53"/>
      <c r="I502" s="127"/>
    </row>
    <row r="503" spans="5:9">
      <c r="E503" s="126"/>
      <c r="F503" s="81"/>
      <c r="G503" s="124"/>
      <c r="H503" s="53"/>
      <c r="I503" s="127"/>
    </row>
    <row r="504" spans="5:9">
      <c r="E504" s="126"/>
      <c r="F504" s="81"/>
      <c r="G504" s="124"/>
      <c r="H504" s="53"/>
      <c r="I504" s="127"/>
    </row>
    <row r="505" spans="5:9">
      <c r="E505" s="126"/>
      <c r="F505" s="81"/>
      <c r="G505" s="124"/>
      <c r="H505" s="53"/>
      <c r="I505" s="127"/>
    </row>
    <row r="506" spans="5:9">
      <c r="E506" s="126"/>
      <c r="F506" s="81"/>
      <c r="G506" s="124"/>
      <c r="H506" s="53"/>
      <c r="I506" s="127"/>
    </row>
    <row r="507" spans="5:9">
      <c r="E507" s="126"/>
      <c r="F507" s="81"/>
      <c r="G507" s="124"/>
      <c r="H507" s="53"/>
      <c r="I507" s="127"/>
    </row>
    <row r="508" spans="5:9">
      <c r="E508" s="126"/>
      <c r="F508" s="81"/>
      <c r="G508" s="124"/>
      <c r="H508" s="53"/>
      <c r="I508" s="127"/>
    </row>
    <row r="509" spans="5:9">
      <c r="E509" s="126"/>
      <c r="F509" s="81"/>
      <c r="G509" s="124"/>
      <c r="H509" s="53"/>
      <c r="I509" s="127"/>
    </row>
    <row r="510" spans="5:9">
      <c r="E510" s="126"/>
      <c r="F510" s="81"/>
      <c r="G510" s="124"/>
      <c r="H510" s="53"/>
      <c r="I510" s="127"/>
    </row>
    <row r="511" spans="5:9">
      <c r="E511" s="126"/>
      <c r="F511" s="81"/>
      <c r="G511" s="124"/>
      <c r="H511" s="53"/>
      <c r="I511" s="127"/>
    </row>
    <row r="512" spans="5:9">
      <c r="E512" s="126"/>
      <c r="F512" s="81"/>
      <c r="G512" s="124"/>
      <c r="H512" s="53"/>
      <c r="I512" s="127"/>
    </row>
    <row r="513" spans="5:9">
      <c r="E513" s="126"/>
      <c r="F513" s="81"/>
      <c r="G513" s="124"/>
      <c r="H513" s="53"/>
      <c r="I513" s="127"/>
    </row>
    <row r="514" spans="5:9">
      <c r="E514" s="126"/>
      <c r="F514" s="81"/>
      <c r="G514" s="124"/>
      <c r="H514" s="53"/>
      <c r="I514" s="127"/>
    </row>
    <row r="515" spans="5:9">
      <c r="E515" s="126"/>
      <c r="F515" s="81"/>
      <c r="G515" s="124"/>
      <c r="H515" s="53"/>
      <c r="I515" s="127"/>
    </row>
    <row r="516" spans="5:9">
      <c r="E516" s="126"/>
      <c r="F516" s="81"/>
      <c r="G516" s="124"/>
      <c r="H516" s="53"/>
      <c r="I516" s="127"/>
    </row>
    <row r="517" spans="5:9">
      <c r="E517" s="126"/>
      <c r="F517" s="81"/>
      <c r="G517" s="124"/>
      <c r="H517" s="53"/>
      <c r="I517" s="127"/>
    </row>
    <row r="518" spans="5:9">
      <c r="E518" s="126"/>
      <c r="F518" s="81"/>
      <c r="G518" s="124"/>
      <c r="H518" s="53"/>
      <c r="I518" s="127"/>
    </row>
    <row r="519" spans="5:9">
      <c r="E519" s="126"/>
      <c r="F519" s="81"/>
      <c r="G519" s="124"/>
      <c r="H519" s="53"/>
      <c r="I519" s="127"/>
    </row>
    <row r="520" spans="5:9">
      <c r="E520" s="126"/>
      <c r="F520" s="81"/>
      <c r="G520" s="124"/>
      <c r="H520" s="53"/>
      <c r="I520" s="127"/>
    </row>
    <row r="521" spans="5:9">
      <c r="E521" s="126"/>
      <c r="F521" s="81"/>
      <c r="G521" s="124"/>
      <c r="H521" s="53"/>
      <c r="I521" s="127"/>
    </row>
    <row r="522" spans="5:9">
      <c r="E522" s="126"/>
      <c r="F522" s="81"/>
      <c r="G522" s="124"/>
      <c r="H522" s="53"/>
      <c r="I522" s="127"/>
    </row>
    <row r="523" spans="5:9">
      <c r="E523" s="126"/>
      <c r="F523" s="81"/>
      <c r="G523" s="124"/>
      <c r="H523" s="53"/>
      <c r="I523" s="127"/>
    </row>
    <row r="524" spans="5:9">
      <c r="E524" s="126"/>
      <c r="F524" s="81"/>
      <c r="G524" s="124"/>
      <c r="H524" s="53"/>
      <c r="I524" s="127"/>
    </row>
    <row r="525" spans="5:9">
      <c r="E525" s="126"/>
      <c r="F525" s="81"/>
      <c r="G525" s="124"/>
      <c r="H525" s="53"/>
      <c r="I525" s="127"/>
    </row>
    <row r="526" spans="5:9">
      <c r="E526" s="126"/>
      <c r="F526" s="81"/>
      <c r="G526" s="124"/>
      <c r="H526" s="53"/>
      <c r="I526" s="127"/>
    </row>
    <row r="527" spans="5:9">
      <c r="E527" s="126"/>
      <c r="F527" s="81"/>
      <c r="G527" s="124"/>
      <c r="H527" s="53"/>
      <c r="I527" s="127"/>
    </row>
    <row r="528" spans="5:9">
      <c r="E528" s="126"/>
      <c r="F528" s="81"/>
      <c r="G528" s="124"/>
      <c r="H528" s="53"/>
      <c r="I528" s="127"/>
    </row>
    <row r="529" spans="5:9">
      <c r="E529" s="126"/>
      <c r="F529" s="53"/>
      <c r="G529" s="53"/>
      <c r="H529" s="53"/>
      <c r="I529" s="127"/>
    </row>
    <row r="530" spans="5:9">
      <c r="E530" s="126"/>
      <c r="F530" s="53"/>
      <c r="G530" s="53"/>
      <c r="H530" s="53"/>
      <c r="I530" s="127"/>
    </row>
    <row r="531" spans="5:9">
      <c r="E531" s="126"/>
      <c r="F531" s="53"/>
      <c r="G531" s="53"/>
      <c r="H531" s="53"/>
      <c r="I531" s="127"/>
    </row>
    <row r="532" spans="5:9">
      <c r="E532" s="126"/>
      <c r="F532" s="53"/>
      <c r="G532" s="53"/>
      <c r="H532" s="53"/>
      <c r="I532" s="127"/>
    </row>
    <row r="533" spans="5:9">
      <c r="E533" s="126"/>
      <c r="F533" s="53"/>
      <c r="G533" s="53"/>
      <c r="H533" s="53"/>
      <c r="I533" s="127"/>
    </row>
    <row r="534" spans="5:9">
      <c r="E534" s="126"/>
      <c r="F534" s="53"/>
      <c r="G534" s="53"/>
      <c r="H534" s="53"/>
      <c r="I534" s="127"/>
    </row>
    <row r="535" spans="5:9">
      <c r="E535" s="126"/>
      <c r="F535" s="53"/>
      <c r="G535" s="53"/>
      <c r="H535" s="53"/>
      <c r="I535" s="127"/>
    </row>
    <row r="536" spans="5:9">
      <c r="E536" s="126"/>
      <c r="F536" s="53"/>
      <c r="G536" s="53"/>
      <c r="H536" s="53"/>
      <c r="I536" s="127"/>
    </row>
    <row r="537" spans="5:9">
      <c r="E537" s="126"/>
      <c r="F537" s="53"/>
      <c r="G537" s="53"/>
      <c r="H537" s="53"/>
      <c r="I537" s="127"/>
    </row>
    <row r="538" spans="5:9">
      <c r="E538" s="126"/>
      <c r="F538" s="53"/>
      <c r="G538" s="53"/>
      <c r="H538" s="53"/>
      <c r="I538" s="127"/>
    </row>
    <row r="539" spans="5:9">
      <c r="E539" s="126"/>
      <c r="F539" s="53"/>
      <c r="G539" s="53"/>
      <c r="H539" s="53"/>
      <c r="I539" s="127"/>
    </row>
    <row r="540" spans="5:9">
      <c r="E540" s="126"/>
      <c r="F540" s="53"/>
      <c r="G540" s="53"/>
      <c r="H540" s="53"/>
      <c r="I540" s="127"/>
    </row>
    <row r="541" spans="5:9">
      <c r="E541" s="126"/>
      <c r="F541" s="53"/>
      <c r="G541" s="53"/>
      <c r="H541" s="53"/>
      <c r="I541" s="127"/>
    </row>
    <row r="542" spans="5:9">
      <c r="E542" s="126"/>
      <c r="F542" s="53"/>
      <c r="G542" s="53"/>
      <c r="H542" s="53"/>
      <c r="I542" s="127"/>
    </row>
    <row r="543" spans="5:9">
      <c r="E543" s="126"/>
      <c r="F543" s="53"/>
      <c r="G543" s="53"/>
      <c r="H543" s="53"/>
      <c r="I543" s="127"/>
    </row>
    <row r="544" spans="5:9">
      <c r="E544" s="126"/>
      <c r="F544" s="53"/>
      <c r="G544" s="53"/>
      <c r="H544" s="53"/>
      <c r="I544" s="127"/>
    </row>
    <row r="545" spans="5:9">
      <c r="E545" s="126"/>
      <c r="F545" s="53"/>
      <c r="G545" s="53"/>
      <c r="H545" s="53"/>
      <c r="I545" s="127"/>
    </row>
    <row r="546" spans="5:9">
      <c r="E546" s="126"/>
      <c r="F546" s="53"/>
      <c r="G546" s="53"/>
      <c r="H546" s="53"/>
      <c r="I546" s="127"/>
    </row>
    <row r="547" spans="5:9">
      <c r="E547" s="126"/>
      <c r="F547" s="53"/>
      <c r="G547" s="53"/>
      <c r="H547" s="53"/>
      <c r="I547" s="127"/>
    </row>
    <row r="548" spans="5:9">
      <c r="E548" s="126"/>
      <c r="F548" s="53"/>
      <c r="G548" s="53"/>
      <c r="H548" s="53"/>
      <c r="I548" s="127"/>
    </row>
    <row r="549" spans="5:9">
      <c r="E549" s="126"/>
      <c r="F549" s="53"/>
      <c r="G549" s="53"/>
      <c r="H549" s="53"/>
      <c r="I549" s="127"/>
    </row>
    <row r="550" spans="5:9">
      <c r="E550" s="126"/>
      <c r="F550" s="53"/>
      <c r="G550" s="53"/>
      <c r="H550" s="53"/>
      <c r="I550" s="127"/>
    </row>
    <row r="551" spans="5:9">
      <c r="E551" s="126"/>
      <c r="F551" s="53"/>
      <c r="G551" s="53"/>
      <c r="H551" s="53"/>
      <c r="I551" s="127"/>
    </row>
    <row r="552" spans="5:9">
      <c r="E552" s="126"/>
      <c r="F552" s="53"/>
      <c r="G552" s="53"/>
      <c r="H552" s="53"/>
      <c r="I552" s="127"/>
    </row>
    <row r="553" spans="5:9">
      <c r="E553" s="126"/>
      <c r="F553" s="53"/>
      <c r="G553" s="53"/>
      <c r="H553" s="53"/>
      <c r="I553" s="127"/>
    </row>
    <row r="554" spans="5:9">
      <c r="E554" s="126"/>
      <c r="F554" s="53"/>
      <c r="G554" s="53"/>
      <c r="H554" s="53"/>
      <c r="I554" s="127"/>
    </row>
    <row r="555" spans="5:9">
      <c r="E555" s="126"/>
      <c r="F555" s="53"/>
      <c r="G555" s="53"/>
      <c r="H555" s="53"/>
      <c r="I555" s="127"/>
    </row>
    <row r="556" spans="5:9">
      <c r="E556" s="126"/>
      <c r="F556" s="53"/>
      <c r="G556" s="53"/>
      <c r="H556" s="53"/>
      <c r="I556" s="127"/>
    </row>
    <row r="557" spans="5:9">
      <c r="E557" s="126"/>
      <c r="F557" s="53"/>
      <c r="G557" s="53"/>
      <c r="H557" s="53"/>
      <c r="I557" s="127"/>
    </row>
    <row r="558" spans="5:9">
      <c r="E558" s="126"/>
      <c r="F558" s="53"/>
      <c r="G558" s="53"/>
      <c r="H558" s="53"/>
      <c r="I558" s="127"/>
    </row>
    <row r="559" spans="5:9">
      <c r="E559" s="126"/>
      <c r="F559" s="53"/>
      <c r="G559" s="53"/>
      <c r="H559" s="53"/>
      <c r="I559" s="127"/>
    </row>
    <row r="560" spans="5:9">
      <c r="E560" s="126"/>
      <c r="F560" s="53"/>
      <c r="G560" s="53"/>
      <c r="H560" s="53"/>
      <c r="I560" s="127"/>
    </row>
    <row r="561" spans="5:9">
      <c r="E561" s="126"/>
      <c r="F561" s="53"/>
      <c r="G561" s="53"/>
      <c r="H561" s="53"/>
      <c r="I561" s="127"/>
    </row>
    <row r="562" spans="5:9">
      <c r="E562" s="126"/>
      <c r="F562" s="53"/>
      <c r="G562" s="53"/>
      <c r="H562" s="53"/>
      <c r="I562" s="127"/>
    </row>
    <row r="563" spans="5:9">
      <c r="E563" s="126"/>
      <c r="F563" s="53"/>
      <c r="G563" s="53"/>
      <c r="H563" s="53"/>
      <c r="I563" s="127"/>
    </row>
    <row r="564" spans="5:9">
      <c r="E564" s="126"/>
      <c r="F564" s="53"/>
      <c r="G564" s="53"/>
      <c r="H564" s="53"/>
      <c r="I564" s="127"/>
    </row>
    <row r="565" spans="5:9">
      <c r="E565" s="126"/>
      <c r="F565" s="53"/>
      <c r="G565" s="53"/>
      <c r="H565" s="53"/>
      <c r="I565" s="127"/>
    </row>
    <row r="566" spans="5:9">
      <c r="E566" s="126"/>
      <c r="F566" s="53"/>
      <c r="G566" s="53"/>
      <c r="H566" s="53"/>
      <c r="I566" s="127"/>
    </row>
    <row r="567" spans="5:9">
      <c r="E567" s="126"/>
      <c r="F567" s="53"/>
      <c r="G567" s="53"/>
      <c r="H567" s="53"/>
      <c r="I567" s="127"/>
    </row>
    <row r="568" spans="5:9">
      <c r="E568" s="126"/>
      <c r="F568" s="53"/>
      <c r="G568" s="53"/>
      <c r="H568" s="53"/>
      <c r="I568" s="127"/>
    </row>
    <row r="569" spans="5:9">
      <c r="E569" s="126"/>
      <c r="F569" s="53"/>
      <c r="G569" s="53"/>
      <c r="H569" s="53"/>
      <c r="I569" s="127"/>
    </row>
    <row r="570" spans="5:9">
      <c r="E570" s="126"/>
      <c r="F570" s="53"/>
      <c r="G570" s="53"/>
      <c r="H570" s="53"/>
      <c r="I570" s="127"/>
    </row>
    <row r="571" spans="5:9">
      <c r="E571" s="126"/>
      <c r="F571" s="53"/>
      <c r="G571" s="53"/>
      <c r="H571" s="53"/>
      <c r="I571" s="127"/>
    </row>
    <row r="572" spans="5:9">
      <c r="E572" s="126"/>
      <c r="F572" s="53"/>
      <c r="G572" s="53"/>
      <c r="H572" s="53"/>
      <c r="I572" s="127"/>
    </row>
    <row r="573" spans="5:9">
      <c r="E573" s="126"/>
      <c r="F573" s="53"/>
      <c r="G573" s="53"/>
      <c r="H573" s="53"/>
      <c r="I573" s="127"/>
    </row>
    <row r="574" spans="5:9">
      <c r="E574" s="126"/>
      <c r="F574" s="53"/>
      <c r="G574" s="53"/>
      <c r="H574" s="53"/>
      <c r="I574" s="127"/>
    </row>
    <row r="575" spans="5:9">
      <c r="E575" s="126"/>
      <c r="F575" s="53"/>
      <c r="G575" s="53"/>
      <c r="H575" s="53"/>
      <c r="I575" s="127"/>
    </row>
    <row r="576" spans="5:9">
      <c r="E576" s="126"/>
      <c r="F576" s="53"/>
      <c r="G576" s="53"/>
      <c r="H576" s="53"/>
      <c r="I576" s="127"/>
    </row>
    <row r="577" spans="5:9">
      <c r="E577" s="126"/>
      <c r="F577" s="53"/>
      <c r="G577" s="53"/>
      <c r="H577" s="53"/>
      <c r="I577" s="127"/>
    </row>
    <row r="578" spans="5:9">
      <c r="E578" s="126"/>
      <c r="F578" s="53"/>
      <c r="G578" s="53"/>
      <c r="H578" s="53"/>
      <c r="I578" s="127"/>
    </row>
    <row r="579" spans="5:9">
      <c r="E579" s="126"/>
      <c r="F579" s="53"/>
      <c r="G579" s="53"/>
      <c r="H579" s="53"/>
      <c r="I579" s="127"/>
    </row>
    <row r="580" spans="5:9">
      <c r="E580" s="126"/>
      <c r="F580" s="53"/>
      <c r="G580" s="53"/>
      <c r="H580" s="53"/>
      <c r="I580" s="127"/>
    </row>
    <row r="581" spans="5:9">
      <c r="E581" s="126"/>
      <c r="F581" s="53"/>
      <c r="G581" s="53"/>
      <c r="H581" s="53"/>
      <c r="I581" s="127"/>
    </row>
    <row r="582" spans="5:9">
      <c r="E582" s="126"/>
      <c r="F582" s="53"/>
      <c r="G582" s="53"/>
      <c r="H582" s="53"/>
      <c r="I582" s="127"/>
    </row>
    <row r="583" spans="5:9">
      <c r="E583" s="126"/>
      <c r="F583" s="53"/>
      <c r="G583" s="53"/>
      <c r="H583" s="53"/>
      <c r="I583" s="127"/>
    </row>
    <row r="584" spans="5:9">
      <c r="E584" s="126"/>
      <c r="F584" s="53"/>
      <c r="G584" s="53"/>
      <c r="H584" s="53"/>
      <c r="I584" s="127"/>
    </row>
    <row r="585" spans="5:9">
      <c r="E585" s="126"/>
      <c r="F585" s="53"/>
      <c r="G585" s="53"/>
      <c r="H585" s="53"/>
      <c r="I585" s="127"/>
    </row>
    <row r="586" spans="5:9">
      <c r="E586" s="126"/>
      <c r="F586" s="53"/>
      <c r="G586" s="53"/>
      <c r="H586" s="53"/>
      <c r="I586" s="127"/>
    </row>
    <row r="587" spans="5:9">
      <c r="E587" s="126"/>
      <c r="F587" s="53"/>
      <c r="G587" s="53"/>
      <c r="H587" s="53"/>
      <c r="I587" s="127"/>
    </row>
    <row r="588" spans="5:9">
      <c r="E588" s="126"/>
      <c r="F588" s="53"/>
      <c r="G588" s="53"/>
      <c r="H588" s="53"/>
      <c r="I588" s="127"/>
    </row>
    <row r="589" spans="5:9">
      <c r="E589" s="126"/>
      <c r="F589" s="53"/>
      <c r="G589" s="53"/>
      <c r="H589" s="53"/>
      <c r="I589" s="127"/>
    </row>
    <row r="590" spans="5:9">
      <c r="E590" s="126"/>
      <c r="F590" s="53"/>
      <c r="G590" s="53"/>
      <c r="H590" s="53"/>
      <c r="I590" s="127"/>
    </row>
    <row r="591" spans="5:9">
      <c r="E591" s="126"/>
      <c r="F591" s="53"/>
      <c r="G591" s="53"/>
      <c r="H591" s="53"/>
      <c r="I591" s="127"/>
    </row>
    <row r="592" spans="5:9">
      <c r="E592" s="126"/>
      <c r="F592" s="53"/>
      <c r="G592" s="53"/>
      <c r="H592" s="53"/>
      <c r="I592" s="127"/>
    </row>
    <row r="593" spans="5:9">
      <c r="E593" s="126"/>
      <c r="F593" s="53"/>
      <c r="G593" s="53"/>
      <c r="H593" s="53"/>
      <c r="I593" s="127"/>
    </row>
    <row r="594" spans="5:9">
      <c r="E594" s="126"/>
      <c r="F594" s="53"/>
      <c r="G594" s="53"/>
      <c r="H594" s="53"/>
      <c r="I594" s="127"/>
    </row>
    <row r="595" spans="5:9">
      <c r="E595" s="126"/>
      <c r="F595" s="53"/>
      <c r="G595" s="53"/>
      <c r="H595" s="53"/>
      <c r="I595" s="127"/>
    </row>
    <row r="596" spans="5:9">
      <c r="E596" s="126"/>
      <c r="F596" s="53"/>
      <c r="G596" s="53"/>
      <c r="H596" s="53"/>
      <c r="I596" s="127"/>
    </row>
    <row r="597" spans="5:9">
      <c r="E597" s="126"/>
      <c r="F597" s="53"/>
      <c r="G597" s="53"/>
      <c r="H597" s="53"/>
      <c r="I597" s="127"/>
    </row>
    <row r="598" spans="5:9">
      <c r="E598" s="126"/>
      <c r="F598" s="53"/>
      <c r="G598" s="53"/>
      <c r="H598" s="53"/>
      <c r="I598" s="127"/>
    </row>
    <row r="599" spans="5:9">
      <c r="E599" s="126"/>
      <c r="F599" s="53"/>
      <c r="G599" s="53"/>
      <c r="H599" s="53"/>
      <c r="I599" s="127"/>
    </row>
    <row r="600" spans="5:9">
      <c r="E600" s="126"/>
      <c r="F600" s="53"/>
      <c r="G600" s="53"/>
      <c r="H600" s="53"/>
      <c r="I600" s="127"/>
    </row>
    <row r="601" spans="5:9">
      <c r="E601" s="126"/>
      <c r="F601" s="53"/>
      <c r="G601" s="53"/>
      <c r="H601" s="53"/>
      <c r="I601" s="127"/>
    </row>
    <row r="602" spans="5:9">
      <c r="E602" s="126"/>
      <c r="F602" s="53"/>
      <c r="G602" s="53"/>
      <c r="H602" s="53"/>
      <c r="I602" s="127"/>
    </row>
    <row r="603" spans="5:9">
      <c r="E603" s="126"/>
      <c r="F603" s="53"/>
      <c r="G603" s="53"/>
      <c r="H603" s="53"/>
      <c r="I603" s="127"/>
    </row>
    <row r="604" spans="5:9">
      <c r="E604" s="126"/>
      <c r="F604" s="53"/>
      <c r="G604" s="53"/>
      <c r="H604" s="53"/>
      <c r="I604" s="127"/>
    </row>
    <row r="605" spans="5:9">
      <c r="E605" s="126"/>
      <c r="F605" s="53"/>
      <c r="G605" s="53"/>
      <c r="H605" s="53"/>
      <c r="I605" s="127"/>
    </row>
    <row r="606" spans="5:9">
      <c r="E606" s="126"/>
      <c r="F606" s="53"/>
      <c r="G606" s="53"/>
      <c r="H606" s="53"/>
      <c r="I606" s="127"/>
    </row>
    <row r="607" spans="5:9">
      <c r="E607" s="126"/>
      <c r="F607" s="53"/>
      <c r="G607" s="53"/>
      <c r="H607" s="53"/>
      <c r="I607" s="127"/>
    </row>
    <row r="608" spans="5:9">
      <c r="E608" s="126"/>
      <c r="F608" s="53"/>
      <c r="G608" s="53"/>
      <c r="H608" s="53"/>
      <c r="I608" s="127"/>
    </row>
    <row r="609" spans="5:9">
      <c r="E609" s="126"/>
      <c r="F609" s="53"/>
      <c r="G609" s="53"/>
      <c r="H609" s="53"/>
      <c r="I609" s="127"/>
    </row>
    <row r="610" spans="5:9">
      <c r="E610" s="126"/>
      <c r="F610" s="53"/>
      <c r="G610" s="53"/>
      <c r="H610" s="53"/>
      <c r="I610" s="127"/>
    </row>
    <row r="611" spans="5:9">
      <c r="E611" s="126"/>
      <c r="F611" s="53"/>
      <c r="G611" s="53"/>
      <c r="H611" s="53"/>
      <c r="I611" s="127"/>
    </row>
    <row r="612" spans="5:9">
      <c r="E612" s="126"/>
      <c r="F612" s="53"/>
      <c r="G612" s="53"/>
      <c r="H612" s="53"/>
      <c r="I612" s="127"/>
    </row>
    <row r="613" spans="5:9">
      <c r="E613" s="126"/>
      <c r="F613" s="53"/>
      <c r="G613" s="53"/>
      <c r="H613" s="53"/>
      <c r="I613" s="127"/>
    </row>
    <row r="614" spans="5:9">
      <c r="E614" s="126"/>
      <c r="F614" s="53"/>
      <c r="G614" s="53"/>
      <c r="H614" s="53"/>
      <c r="I614" s="127"/>
    </row>
    <row r="615" spans="5:9">
      <c r="E615" s="126"/>
      <c r="F615" s="53"/>
      <c r="G615" s="53"/>
      <c r="H615" s="53"/>
      <c r="I615" s="127"/>
    </row>
    <row r="616" spans="5:9">
      <c r="E616" s="126"/>
      <c r="F616" s="53"/>
      <c r="G616" s="53"/>
      <c r="H616" s="53"/>
      <c r="I616" s="127"/>
    </row>
    <row r="617" spans="5:9">
      <c r="E617" s="126"/>
      <c r="F617" s="53"/>
      <c r="G617" s="53"/>
      <c r="H617" s="53"/>
      <c r="I617" s="127"/>
    </row>
    <row r="618" spans="5:9">
      <c r="E618" s="126"/>
      <c r="F618" s="53"/>
      <c r="G618" s="53"/>
      <c r="H618" s="53"/>
      <c r="I618" s="127"/>
    </row>
    <row r="619" spans="5:9">
      <c r="E619" s="126"/>
      <c r="F619" s="53"/>
      <c r="G619" s="53"/>
      <c r="H619" s="53"/>
      <c r="I619" s="127"/>
    </row>
    <row r="620" spans="5:9">
      <c r="E620" s="126"/>
      <c r="F620" s="53"/>
      <c r="G620" s="53"/>
      <c r="H620" s="53"/>
      <c r="I620" s="127"/>
    </row>
    <row r="621" spans="5:9">
      <c r="E621" s="126"/>
      <c r="F621" s="53"/>
      <c r="G621" s="53"/>
      <c r="H621" s="53"/>
      <c r="I621" s="127"/>
    </row>
    <row r="622" spans="5:9">
      <c r="E622" s="126"/>
      <c r="F622" s="53"/>
      <c r="G622" s="53"/>
      <c r="H622" s="53"/>
      <c r="I622" s="127"/>
    </row>
    <row r="623" spans="5:9">
      <c r="E623" s="126"/>
      <c r="F623" s="53"/>
      <c r="G623" s="53"/>
      <c r="H623" s="53"/>
      <c r="I623" s="127"/>
    </row>
    <row r="624" spans="5:9">
      <c r="E624" s="126"/>
      <c r="F624" s="53"/>
      <c r="G624" s="53"/>
      <c r="H624" s="53"/>
      <c r="I624" s="127"/>
    </row>
    <row r="625" spans="5:9">
      <c r="E625" s="126"/>
      <c r="F625" s="53"/>
      <c r="G625" s="53"/>
      <c r="H625" s="53"/>
      <c r="I625" s="127"/>
    </row>
    <row r="626" spans="5:9">
      <c r="E626" s="126"/>
      <c r="F626" s="53"/>
      <c r="G626" s="53"/>
      <c r="H626" s="53"/>
      <c r="I626" s="127"/>
    </row>
    <row r="627" spans="5:9">
      <c r="E627" s="126"/>
      <c r="F627" s="53"/>
      <c r="G627" s="53"/>
      <c r="H627" s="53"/>
      <c r="I627" s="127"/>
    </row>
    <row r="628" spans="5:9">
      <c r="E628" s="126"/>
      <c r="F628" s="53"/>
      <c r="G628" s="53"/>
      <c r="H628" s="53"/>
      <c r="I628" s="127"/>
    </row>
    <row r="629" spans="5:9">
      <c r="E629" s="126"/>
      <c r="F629" s="53"/>
      <c r="G629" s="53"/>
      <c r="H629" s="53"/>
      <c r="I629" s="127"/>
    </row>
    <row r="630" spans="5:9">
      <c r="E630" s="126"/>
      <c r="F630" s="53"/>
      <c r="G630" s="53"/>
      <c r="H630" s="53"/>
      <c r="I630" s="127"/>
    </row>
    <row r="631" spans="5:9">
      <c r="E631" s="126"/>
      <c r="F631" s="53"/>
      <c r="G631" s="53"/>
      <c r="H631" s="53"/>
      <c r="I631" s="127"/>
    </row>
    <row r="632" spans="5:9">
      <c r="E632" s="126"/>
      <c r="F632" s="53"/>
      <c r="G632" s="53"/>
      <c r="H632" s="53"/>
      <c r="I632" s="127"/>
    </row>
    <row r="633" spans="5:9">
      <c r="E633" s="126"/>
      <c r="F633" s="53"/>
      <c r="G633" s="53"/>
      <c r="H633" s="53"/>
      <c r="I633" s="127"/>
    </row>
    <row r="634" spans="5:9">
      <c r="E634" s="126"/>
      <c r="F634" s="53"/>
      <c r="G634" s="53"/>
      <c r="H634" s="53"/>
      <c r="I634" s="127"/>
    </row>
    <row r="635" spans="5:9">
      <c r="E635" s="126"/>
      <c r="F635" s="53"/>
      <c r="G635" s="53"/>
      <c r="H635" s="53"/>
      <c r="I635" s="127"/>
    </row>
    <row r="636" spans="5:9">
      <c r="E636" s="126"/>
      <c r="F636" s="53"/>
      <c r="G636" s="53"/>
      <c r="H636" s="53"/>
      <c r="I636" s="127"/>
    </row>
    <row r="637" spans="5:9">
      <c r="E637" s="126"/>
      <c r="F637" s="53"/>
      <c r="G637" s="53"/>
      <c r="H637" s="53"/>
      <c r="I637" s="127"/>
    </row>
    <row r="638" spans="5:9">
      <c r="E638" s="126"/>
      <c r="F638" s="53"/>
      <c r="G638" s="53"/>
      <c r="H638" s="53"/>
      <c r="I638" s="127"/>
    </row>
    <row r="639" spans="5:9">
      <c r="E639" s="126"/>
      <c r="F639" s="53"/>
      <c r="G639" s="53"/>
      <c r="H639" s="53"/>
      <c r="I639" s="127"/>
    </row>
    <row r="640" spans="5:9">
      <c r="E640" s="126"/>
      <c r="F640" s="53"/>
      <c r="G640" s="53"/>
      <c r="H640" s="53"/>
      <c r="I640" s="127"/>
    </row>
    <row r="641" spans="5:9">
      <c r="E641" s="126"/>
      <c r="F641" s="53"/>
      <c r="G641" s="53"/>
      <c r="H641" s="53"/>
      <c r="I641" s="127"/>
    </row>
    <row r="642" spans="5:9">
      <c r="E642" s="126"/>
      <c r="F642" s="53"/>
      <c r="G642" s="53"/>
      <c r="H642" s="53"/>
      <c r="I642" s="127"/>
    </row>
    <row r="643" spans="5:9">
      <c r="E643" s="126"/>
      <c r="F643" s="53"/>
      <c r="G643" s="53"/>
      <c r="H643" s="53"/>
      <c r="I643" s="127"/>
    </row>
    <row r="644" spans="5:9">
      <c r="E644" s="126"/>
      <c r="F644" s="53"/>
      <c r="G644" s="53"/>
      <c r="H644" s="53"/>
      <c r="I644" s="127"/>
    </row>
    <row r="645" spans="5:9">
      <c r="E645" s="126"/>
      <c r="F645" s="53"/>
      <c r="G645" s="53"/>
      <c r="H645" s="53"/>
      <c r="I645" s="127"/>
    </row>
    <row r="646" spans="5:9">
      <c r="E646" s="126"/>
      <c r="F646" s="53"/>
      <c r="G646" s="53"/>
      <c r="H646" s="53"/>
      <c r="I646" s="127"/>
    </row>
    <row r="647" spans="5:9">
      <c r="E647" s="126"/>
      <c r="F647" s="53"/>
      <c r="G647" s="53"/>
      <c r="H647" s="53"/>
      <c r="I647" s="127"/>
    </row>
    <row r="648" spans="5:9">
      <c r="E648" s="126"/>
      <c r="F648" s="53"/>
      <c r="G648" s="53"/>
      <c r="H648" s="53"/>
      <c r="I648" s="127"/>
    </row>
    <row r="649" spans="5:9">
      <c r="E649" s="126"/>
      <c r="F649" s="53"/>
      <c r="G649" s="53"/>
      <c r="H649" s="53"/>
      <c r="I649" s="127"/>
    </row>
    <row r="650" spans="5:9">
      <c r="E650" s="126"/>
      <c r="F650" s="53"/>
      <c r="G650" s="53"/>
      <c r="H650" s="53"/>
      <c r="I650" s="127"/>
    </row>
    <row r="651" spans="5:9">
      <c r="E651" s="126"/>
      <c r="F651" s="53"/>
      <c r="G651" s="53"/>
      <c r="H651" s="53"/>
      <c r="I651" s="127"/>
    </row>
    <row r="652" spans="5:9">
      <c r="E652" s="126"/>
      <c r="F652" s="53"/>
      <c r="G652" s="53"/>
      <c r="H652" s="53"/>
      <c r="I652" s="127"/>
    </row>
    <row r="653" spans="5:9">
      <c r="E653" s="126"/>
      <c r="F653" s="53"/>
      <c r="G653" s="53"/>
      <c r="H653" s="53"/>
      <c r="I653" s="127"/>
    </row>
    <row r="654" spans="5:9">
      <c r="E654" s="126"/>
      <c r="F654" s="53"/>
      <c r="G654" s="53"/>
      <c r="H654" s="53"/>
      <c r="I654" s="127"/>
    </row>
    <row r="655" spans="5:9">
      <c r="E655" s="126"/>
      <c r="F655" s="53"/>
      <c r="G655" s="53"/>
      <c r="H655" s="53"/>
      <c r="I655" s="127"/>
    </row>
    <row r="656" spans="5:9">
      <c r="E656" s="126"/>
      <c r="F656" s="53"/>
      <c r="G656" s="53"/>
      <c r="H656" s="53"/>
      <c r="I656" s="127"/>
    </row>
    <row r="657" spans="5:9">
      <c r="E657" s="126"/>
      <c r="F657" s="53"/>
      <c r="G657" s="53"/>
      <c r="H657" s="53"/>
      <c r="I657" s="127"/>
    </row>
    <row r="658" spans="5:9">
      <c r="E658" s="126"/>
      <c r="F658" s="53"/>
      <c r="G658" s="53"/>
      <c r="H658" s="53"/>
      <c r="I658" s="127"/>
    </row>
    <row r="659" spans="5:9">
      <c r="E659" s="126"/>
      <c r="F659" s="53"/>
      <c r="G659" s="53"/>
      <c r="H659" s="53"/>
      <c r="I659" s="127"/>
    </row>
    <row r="660" spans="5:9">
      <c r="E660" s="126"/>
      <c r="F660" s="53"/>
      <c r="G660" s="53"/>
      <c r="H660" s="53"/>
      <c r="I660" s="127"/>
    </row>
    <row r="661" spans="5:9">
      <c r="E661" s="126"/>
      <c r="F661" s="53"/>
      <c r="G661" s="53"/>
      <c r="H661" s="53"/>
      <c r="I661" s="127"/>
    </row>
    <row r="662" spans="5:9">
      <c r="E662" s="126"/>
      <c r="F662" s="53"/>
      <c r="G662" s="53"/>
      <c r="H662" s="53"/>
      <c r="I662" s="127"/>
    </row>
    <row r="663" spans="5:9">
      <c r="E663" s="126"/>
      <c r="F663" s="53"/>
      <c r="G663" s="53"/>
      <c r="H663" s="53"/>
      <c r="I663" s="127"/>
    </row>
    <row r="664" spans="5:9">
      <c r="E664" s="126"/>
      <c r="F664" s="53"/>
      <c r="G664" s="53"/>
      <c r="H664" s="53"/>
      <c r="I664" s="127"/>
    </row>
    <row r="665" spans="5:9">
      <c r="E665" s="126"/>
      <c r="F665" s="53"/>
      <c r="G665" s="53"/>
      <c r="H665" s="53"/>
      <c r="I665" s="127"/>
    </row>
    <row r="666" spans="5:9">
      <c r="E666" s="126"/>
      <c r="F666" s="53"/>
      <c r="G666" s="53"/>
      <c r="H666" s="53"/>
      <c r="I666" s="127"/>
    </row>
    <row r="667" spans="5:9">
      <c r="E667" s="126"/>
      <c r="F667" s="53"/>
      <c r="G667" s="53"/>
      <c r="H667" s="53"/>
      <c r="I667" s="127"/>
    </row>
    <row r="668" spans="5:9">
      <c r="E668" s="126"/>
      <c r="F668" s="53"/>
      <c r="G668" s="53"/>
      <c r="H668" s="53"/>
      <c r="I668" s="127"/>
    </row>
    <row r="669" spans="5:9">
      <c r="E669" s="126"/>
      <c r="F669" s="53"/>
      <c r="G669" s="53"/>
      <c r="H669" s="53"/>
      <c r="I669" s="127"/>
    </row>
    <row r="670" spans="5:9">
      <c r="E670" s="126"/>
      <c r="F670" s="53"/>
      <c r="G670" s="53"/>
      <c r="H670" s="53"/>
      <c r="I670" s="127"/>
    </row>
    <row r="671" spans="5:9">
      <c r="E671" s="126"/>
      <c r="F671" s="53"/>
      <c r="G671" s="53"/>
      <c r="H671" s="53"/>
      <c r="I671" s="127"/>
    </row>
    <row r="672" spans="5:9">
      <c r="E672" s="126"/>
      <c r="F672" s="53"/>
      <c r="G672" s="53"/>
      <c r="H672" s="53"/>
      <c r="I672" s="127"/>
    </row>
    <row r="673" spans="5:9">
      <c r="E673" s="126"/>
      <c r="F673" s="53"/>
      <c r="G673" s="53"/>
      <c r="H673" s="53"/>
      <c r="I673" s="127"/>
    </row>
    <row r="674" spans="5:9">
      <c r="E674" s="126"/>
      <c r="F674" s="53"/>
      <c r="G674" s="53"/>
      <c r="H674" s="53"/>
      <c r="I674" s="127"/>
    </row>
    <row r="675" spans="5:9">
      <c r="E675" s="126"/>
      <c r="F675" s="53"/>
      <c r="G675" s="53"/>
      <c r="H675" s="53"/>
      <c r="I675" s="127"/>
    </row>
    <row r="676" spans="5:9">
      <c r="E676" s="126"/>
      <c r="F676" s="53"/>
      <c r="G676" s="53"/>
      <c r="H676" s="53"/>
      <c r="I676" s="127"/>
    </row>
    <row r="677" spans="5:9">
      <c r="E677" s="126"/>
      <c r="F677" s="53"/>
      <c r="G677" s="53"/>
      <c r="H677" s="53"/>
      <c r="I677" s="127"/>
    </row>
    <row r="678" spans="5:9">
      <c r="E678" s="126"/>
      <c r="F678" s="53"/>
      <c r="G678" s="53"/>
      <c r="H678" s="53"/>
      <c r="I678" s="127"/>
    </row>
    <row r="679" spans="5:9">
      <c r="E679" s="126"/>
      <c r="F679" s="53"/>
      <c r="G679" s="53"/>
      <c r="H679" s="53"/>
      <c r="I679" s="127"/>
    </row>
    <row r="680" spans="5:9">
      <c r="E680" s="126"/>
      <c r="F680" s="53"/>
      <c r="G680" s="53"/>
      <c r="H680" s="53"/>
      <c r="I680" s="127"/>
    </row>
    <row r="681" spans="5:9">
      <c r="E681" s="126"/>
      <c r="F681" s="53"/>
      <c r="G681" s="53"/>
      <c r="H681" s="53"/>
      <c r="I681" s="127"/>
    </row>
    <row r="682" spans="5:9">
      <c r="E682" s="126"/>
      <c r="F682" s="53"/>
      <c r="G682" s="53"/>
      <c r="H682" s="53"/>
      <c r="I682" s="127"/>
    </row>
    <row r="683" spans="5:9">
      <c r="E683" s="126"/>
      <c r="F683" s="53"/>
      <c r="G683" s="53"/>
      <c r="H683" s="53"/>
      <c r="I683" s="127"/>
    </row>
    <row r="684" spans="5:9">
      <c r="E684" s="126"/>
      <c r="F684" s="53"/>
      <c r="G684" s="53"/>
      <c r="H684" s="53"/>
      <c r="I684" s="127"/>
    </row>
    <row r="685" spans="5:9">
      <c r="E685" s="126"/>
      <c r="F685" s="53"/>
      <c r="G685" s="53"/>
      <c r="H685" s="53"/>
      <c r="I685" s="127"/>
    </row>
    <row r="686" spans="5:9">
      <c r="E686" s="126"/>
      <c r="F686" s="53"/>
      <c r="G686" s="53"/>
      <c r="H686" s="53"/>
      <c r="I686" s="127"/>
    </row>
    <row r="687" spans="5:9">
      <c r="E687" s="126"/>
      <c r="F687" s="53"/>
      <c r="G687" s="53"/>
      <c r="H687" s="53"/>
      <c r="I687" s="127"/>
    </row>
    <row r="688" spans="5:9">
      <c r="E688" s="126"/>
      <c r="F688" s="53"/>
      <c r="G688" s="53"/>
      <c r="H688" s="53"/>
      <c r="I688" s="127"/>
    </row>
    <row r="689" spans="5:9">
      <c r="E689" s="126"/>
      <c r="F689" s="53"/>
      <c r="G689" s="53"/>
      <c r="H689" s="53"/>
      <c r="I689" s="127"/>
    </row>
    <row r="690" spans="5:9">
      <c r="E690" s="126"/>
      <c r="F690" s="53"/>
      <c r="G690" s="53"/>
      <c r="H690" s="53"/>
      <c r="I690" s="127"/>
    </row>
    <row r="691" spans="5:9">
      <c r="E691" s="126"/>
      <c r="F691" s="53"/>
      <c r="G691" s="53"/>
      <c r="H691" s="53"/>
      <c r="I691" s="127"/>
    </row>
    <row r="692" spans="5:9">
      <c r="E692" s="126"/>
      <c r="F692" s="53"/>
      <c r="G692" s="53"/>
      <c r="H692" s="53"/>
      <c r="I692" s="127"/>
    </row>
    <row r="693" spans="5:9">
      <c r="E693" s="126"/>
      <c r="F693" s="53"/>
      <c r="G693" s="53"/>
      <c r="H693" s="53"/>
      <c r="I693" s="127"/>
    </row>
    <row r="694" spans="5:9">
      <c r="E694" s="126"/>
      <c r="F694" s="53"/>
      <c r="G694" s="53"/>
      <c r="H694" s="53"/>
      <c r="I694" s="127"/>
    </row>
    <row r="695" spans="5:9">
      <c r="E695" s="126"/>
      <c r="F695" s="53"/>
      <c r="G695" s="53"/>
      <c r="H695" s="53"/>
      <c r="I695" s="127"/>
    </row>
    <row r="696" spans="5:9">
      <c r="E696" s="126"/>
      <c r="F696" s="53"/>
      <c r="G696" s="53"/>
      <c r="H696" s="53"/>
      <c r="I696" s="127"/>
    </row>
    <row r="697" spans="5:9">
      <c r="E697" s="126"/>
      <c r="F697" s="53"/>
      <c r="G697" s="53"/>
      <c r="H697" s="53"/>
      <c r="I697" s="127"/>
    </row>
    <row r="698" spans="5:9">
      <c r="E698" s="126"/>
      <c r="F698" s="53"/>
      <c r="G698" s="53"/>
      <c r="H698" s="53"/>
      <c r="I698" s="127"/>
    </row>
    <row r="699" spans="5:9">
      <c r="E699" s="126"/>
      <c r="F699" s="53"/>
      <c r="G699" s="53"/>
      <c r="H699" s="53"/>
      <c r="I699" s="127"/>
    </row>
    <row r="700" spans="5:9">
      <c r="E700" s="126"/>
      <c r="F700" s="53"/>
      <c r="G700" s="53"/>
      <c r="H700" s="53"/>
      <c r="I700" s="127"/>
    </row>
    <row r="701" spans="5:9">
      <c r="E701" s="126"/>
      <c r="F701" s="53"/>
      <c r="G701" s="53"/>
      <c r="H701" s="53"/>
      <c r="I701" s="127"/>
    </row>
    <row r="702" spans="5:9">
      <c r="E702" s="126"/>
      <c r="F702" s="53"/>
      <c r="G702" s="53"/>
      <c r="H702" s="53"/>
      <c r="I702" s="127"/>
    </row>
    <row r="703" spans="5:9">
      <c r="E703" s="126"/>
      <c r="F703" s="53"/>
      <c r="G703" s="53"/>
      <c r="H703" s="53"/>
      <c r="I703" s="127"/>
    </row>
    <row r="704" spans="5:9">
      <c r="E704" s="126"/>
      <c r="F704" s="53"/>
      <c r="G704" s="53"/>
      <c r="H704" s="53"/>
      <c r="I704" s="127"/>
    </row>
    <row r="705" spans="5:9">
      <c r="E705" s="126"/>
      <c r="F705" s="53"/>
      <c r="G705" s="53"/>
      <c r="H705" s="53"/>
      <c r="I705" s="127"/>
    </row>
    <row r="706" spans="5:9">
      <c r="E706" s="126"/>
      <c r="F706" s="53"/>
      <c r="G706" s="53"/>
      <c r="H706" s="53"/>
      <c r="I706" s="127"/>
    </row>
    <row r="707" spans="5:9">
      <c r="E707" s="126"/>
      <c r="F707" s="53"/>
      <c r="G707" s="53"/>
      <c r="H707" s="53"/>
      <c r="I707" s="127"/>
    </row>
    <row r="708" spans="5:9">
      <c r="E708" s="126"/>
      <c r="F708" s="53"/>
      <c r="G708" s="53"/>
      <c r="H708" s="53"/>
      <c r="I708" s="127"/>
    </row>
    <row r="709" spans="5:9">
      <c r="E709" s="126"/>
      <c r="F709" s="53"/>
      <c r="G709" s="53"/>
      <c r="H709" s="53"/>
      <c r="I709" s="127"/>
    </row>
    <row r="710" spans="5:9">
      <c r="E710" s="126"/>
      <c r="F710" s="53"/>
      <c r="G710" s="53"/>
      <c r="H710" s="53"/>
      <c r="I710" s="127"/>
    </row>
    <row r="711" spans="5:9">
      <c r="E711" s="126"/>
      <c r="F711" s="53"/>
      <c r="G711" s="53"/>
      <c r="H711" s="53"/>
      <c r="I711" s="127"/>
    </row>
    <row r="712" spans="5:9">
      <c r="E712" s="126"/>
      <c r="F712" s="53"/>
      <c r="G712" s="53"/>
      <c r="H712" s="53"/>
      <c r="I712" s="127"/>
    </row>
    <row r="713" spans="5:9">
      <c r="E713" s="126"/>
      <c r="F713" s="53"/>
      <c r="G713" s="53"/>
      <c r="H713" s="53"/>
      <c r="I713" s="127"/>
    </row>
    <row r="714" spans="5:9">
      <c r="E714" s="126"/>
      <c r="F714" s="53"/>
      <c r="G714" s="53"/>
      <c r="H714" s="53"/>
      <c r="I714" s="127"/>
    </row>
    <row r="715" spans="5:9">
      <c r="E715" s="126"/>
      <c r="F715" s="53"/>
      <c r="G715" s="53"/>
      <c r="H715" s="53"/>
      <c r="I715" s="127"/>
    </row>
    <row r="716" spans="5:9">
      <c r="E716" s="126"/>
      <c r="F716" s="53"/>
      <c r="G716" s="53"/>
      <c r="H716" s="53"/>
      <c r="I716" s="127"/>
    </row>
    <row r="717" spans="5:9">
      <c r="E717" s="126"/>
      <c r="F717" s="53"/>
      <c r="G717" s="53"/>
      <c r="H717" s="53"/>
      <c r="I717" s="127"/>
    </row>
    <row r="718" spans="5:9">
      <c r="E718" s="126"/>
      <c r="F718" s="53"/>
      <c r="G718" s="53"/>
      <c r="H718" s="53"/>
      <c r="I718" s="127"/>
    </row>
    <row r="719" spans="5:9">
      <c r="E719" s="126"/>
      <c r="F719" s="53"/>
      <c r="G719" s="53"/>
      <c r="H719" s="53"/>
      <c r="I719" s="127"/>
    </row>
    <row r="720" spans="5:9">
      <c r="E720" s="126"/>
      <c r="F720" s="53"/>
      <c r="G720" s="53"/>
      <c r="H720" s="53"/>
      <c r="I720" s="127"/>
    </row>
    <row r="721" spans="5:9">
      <c r="E721" s="126"/>
      <c r="F721" s="53"/>
      <c r="G721" s="53"/>
      <c r="H721" s="53"/>
      <c r="I721" s="127"/>
    </row>
    <row r="722" spans="5:9">
      <c r="E722" s="126"/>
      <c r="F722" s="53"/>
      <c r="G722" s="53"/>
      <c r="H722" s="53"/>
      <c r="I722" s="127"/>
    </row>
    <row r="723" spans="5:9">
      <c r="E723" s="126"/>
      <c r="F723" s="53"/>
      <c r="G723" s="53"/>
      <c r="H723" s="53"/>
      <c r="I723" s="127"/>
    </row>
    <row r="724" spans="5:9">
      <c r="E724" s="126"/>
      <c r="F724" s="53"/>
      <c r="G724" s="53"/>
      <c r="H724" s="53"/>
      <c r="I724" s="127"/>
    </row>
    <row r="725" spans="5:9">
      <c r="E725" s="126"/>
      <c r="F725" s="53"/>
      <c r="G725" s="53"/>
      <c r="H725" s="53"/>
      <c r="I725" s="127"/>
    </row>
    <row r="726" spans="5:9">
      <c r="E726" s="126"/>
      <c r="F726" s="53"/>
      <c r="G726" s="53"/>
      <c r="H726" s="53"/>
      <c r="I726" s="127"/>
    </row>
    <row r="727" spans="5:9">
      <c r="E727" s="126"/>
      <c r="F727" s="53"/>
      <c r="G727" s="53"/>
      <c r="H727" s="53"/>
      <c r="I727" s="127"/>
    </row>
    <row r="728" spans="5:9">
      <c r="E728" s="126"/>
      <c r="F728" s="53"/>
      <c r="G728" s="53"/>
      <c r="H728" s="53"/>
      <c r="I728" s="127"/>
    </row>
    <row r="729" spans="5:9">
      <c r="E729" s="126"/>
      <c r="F729" s="53"/>
      <c r="G729" s="53"/>
      <c r="H729" s="53"/>
      <c r="I729" s="127"/>
    </row>
    <row r="730" spans="5:9">
      <c r="E730" s="126"/>
      <c r="F730" s="53"/>
      <c r="G730" s="53"/>
      <c r="H730" s="53"/>
      <c r="I730" s="127"/>
    </row>
    <row r="731" spans="5:9">
      <c r="E731" s="126"/>
      <c r="F731" s="53"/>
      <c r="G731" s="53"/>
      <c r="H731" s="53"/>
      <c r="I731" s="127"/>
    </row>
    <row r="732" spans="5:9">
      <c r="E732" s="126"/>
      <c r="F732" s="53"/>
      <c r="G732" s="53"/>
      <c r="H732" s="53"/>
      <c r="I732" s="127"/>
    </row>
    <row r="733" spans="5:9">
      <c r="E733" s="126"/>
      <c r="F733" s="53"/>
      <c r="G733" s="53"/>
      <c r="H733" s="53"/>
      <c r="I733" s="127"/>
    </row>
    <row r="734" spans="5:9">
      <c r="E734" s="126"/>
      <c r="F734" s="53"/>
      <c r="G734" s="53"/>
      <c r="H734" s="53"/>
      <c r="I734" s="127"/>
    </row>
    <row r="735" spans="5:9">
      <c r="E735" s="126"/>
      <c r="F735" s="53"/>
      <c r="G735" s="53"/>
      <c r="H735" s="53"/>
      <c r="I735" s="127"/>
    </row>
    <row r="736" spans="5:9">
      <c r="E736" s="126"/>
      <c r="F736" s="53"/>
      <c r="G736" s="53"/>
      <c r="H736" s="53"/>
      <c r="I736" s="127"/>
    </row>
    <row r="737" spans="5:9">
      <c r="E737" s="126"/>
      <c r="F737" s="53"/>
      <c r="G737" s="53"/>
      <c r="H737" s="53"/>
      <c r="I737" s="127"/>
    </row>
    <row r="738" spans="5:9">
      <c r="E738" s="126"/>
      <c r="F738" s="53"/>
      <c r="G738" s="53"/>
      <c r="H738" s="53"/>
      <c r="I738" s="127"/>
    </row>
    <row r="739" spans="5:9">
      <c r="E739" s="126"/>
      <c r="F739" s="53"/>
      <c r="G739" s="53"/>
      <c r="H739" s="53"/>
      <c r="I739" s="127"/>
    </row>
    <row r="740" spans="5:9">
      <c r="E740" s="126"/>
      <c r="F740" s="53"/>
      <c r="G740" s="53"/>
      <c r="H740" s="53"/>
      <c r="I740" s="127"/>
    </row>
    <row r="741" spans="5:9">
      <c r="E741" s="126"/>
      <c r="F741" s="53"/>
      <c r="G741" s="53"/>
      <c r="H741" s="53"/>
      <c r="I741" s="127"/>
    </row>
    <row r="742" spans="5:9">
      <c r="E742" s="126"/>
      <c r="F742" s="53"/>
      <c r="G742" s="53"/>
      <c r="H742" s="53"/>
      <c r="I742" s="127"/>
    </row>
    <row r="743" spans="5:9">
      <c r="E743" s="126"/>
      <c r="F743" s="53"/>
      <c r="G743" s="53"/>
      <c r="H743" s="53"/>
      <c r="I743" s="127"/>
    </row>
    <row r="744" spans="5:9">
      <c r="E744" s="126"/>
      <c r="F744" s="53"/>
      <c r="G744" s="53"/>
      <c r="H744" s="53"/>
      <c r="I744" s="127"/>
    </row>
    <row r="745" spans="5:9">
      <c r="E745" s="126"/>
      <c r="F745" s="53"/>
      <c r="G745" s="53"/>
      <c r="H745" s="53"/>
      <c r="I745" s="127"/>
    </row>
    <row r="746" spans="5:9">
      <c r="E746" s="126"/>
      <c r="F746" s="53"/>
      <c r="G746" s="53"/>
      <c r="H746" s="53"/>
      <c r="I746" s="127"/>
    </row>
    <row r="747" spans="5:9">
      <c r="E747" s="126"/>
      <c r="F747" s="53"/>
      <c r="G747" s="53"/>
      <c r="H747" s="53"/>
      <c r="I747" s="127"/>
    </row>
    <row r="748" spans="5:9">
      <c r="E748" s="126"/>
      <c r="F748" s="53"/>
      <c r="G748" s="53"/>
      <c r="H748" s="53"/>
      <c r="I748" s="127"/>
    </row>
    <row r="749" spans="5:9">
      <c r="E749" s="126"/>
      <c r="F749" s="53"/>
      <c r="G749" s="53"/>
      <c r="H749" s="53"/>
      <c r="I749" s="127"/>
    </row>
    <row r="750" spans="5:9">
      <c r="E750" s="126"/>
      <c r="F750" s="53"/>
      <c r="G750" s="53"/>
      <c r="H750" s="53"/>
      <c r="I750" s="127"/>
    </row>
    <row r="751" spans="5:9">
      <c r="E751" s="126"/>
      <c r="F751" s="53"/>
      <c r="G751" s="53"/>
      <c r="H751" s="53"/>
      <c r="I751" s="127"/>
    </row>
    <row r="752" spans="5:9">
      <c r="E752" s="126"/>
      <c r="F752" s="53"/>
      <c r="G752" s="53"/>
      <c r="H752" s="53"/>
      <c r="I752" s="127"/>
    </row>
    <row r="753" spans="5:9">
      <c r="E753" s="126"/>
      <c r="F753" s="53"/>
      <c r="G753" s="53"/>
      <c r="H753" s="53"/>
      <c r="I753" s="127"/>
    </row>
    <row r="754" spans="5:9">
      <c r="E754" s="126"/>
      <c r="F754" s="53"/>
      <c r="G754" s="53"/>
      <c r="H754" s="53"/>
      <c r="I754" s="127"/>
    </row>
    <row r="755" spans="5:9">
      <c r="E755" s="126"/>
      <c r="F755" s="53"/>
      <c r="G755" s="53"/>
      <c r="H755" s="53"/>
      <c r="I755" s="127"/>
    </row>
    <row r="756" spans="5:9">
      <c r="E756" s="126"/>
      <c r="F756" s="53"/>
      <c r="G756" s="53"/>
      <c r="H756" s="53"/>
      <c r="I756" s="127"/>
    </row>
    <row r="757" spans="5:9">
      <c r="E757" s="126"/>
      <c r="F757" s="53"/>
      <c r="G757" s="53"/>
      <c r="H757" s="53"/>
      <c r="I757" s="127"/>
    </row>
    <row r="758" spans="5:9">
      <c r="E758" s="126"/>
      <c r="F758" s="53"/>
      <c r="G758" s="53"/>
      <c r="H758" s="53"/>
      <c r="I758" s="127"/>
    </row>
    <row r="759" spans="5:9">
      <c r="E759" s="126"/>
      <c r="F759" s="53"/>
      <c r="G759" s="53"/>
      <c r="H759" s="53"/>
      <c r="I759" s="127"/>
    </row>
    <row r="760" spans="5:9">
      <c r="E760" s="126"/>
      <c r="F760" s="53"/>
      <c r="G760" s="53"/>
      <c r="H760" s="53"/>
      <c r="I760" s="127"/>
    </row>
    <row r="761" spans="5:9">
      <c r="E761" s="126"/>
      <c r="F761" s="53"/>
      <c r="G761" s="53"/>
      <c r="H761" s="53"/>
      <c r="I761" s="127"/>
    </row>
    <row r="762" spans="5:9">
      <c r="E762" s="126"/>
      <c r="F762" s="53"/>
      <c r="G762" s="53"/>
      <c r="H762" s="53"/>
      <c r="I762" s="127"/>
    </row>
    <row r="763" spans="5:9">
      <c r="E763" s="126"/>
      <c r="F763" s="53"/>
      <c r="G763" s="53"/>
      <c r="H763" s="53"/>
      <c r="I763" s="127"/>
    </row>
    <row r="764" spans="5:9">
      <c r="E764" s="126"/>
      <c r="F764" s="53"/>
      <c r="G764" s="53"/>
      <c r="H764" s="53"/>
      <c r="I764" s="127"/>
    </row>
    <row r="765" spans="5:9">
      <c r="E765" s="126"/>
      <c r="F765" s="53"/>
      <c r="G765" s="53"/>
      <c r="H765" s="53"/>
      <c r="I765" s="127"/>
    </row>
    <row r="766" spans="5:9">
      <c r="E766" s="126"/>
      <c r="F766" s="53"/>
      <c r="G766" s="53"/>
      <c r="H766" s="53"/>
      <c r="I766" s="127"/>
    </row>
    <row r="767" spans="5:9">
      <c r="E767" s="126"/>
      <c r="F767" s="53"/>
      <c r="G767" s="53"/>
      <c r="H767" s="53"/>
      <c r="I767" s="127"/>
    </row>
    <row r="768" spans="5:9">
      <c r="E768" s="126"/>
      <c r="F768" s="53"/>
      <c r="G768" s="53"/>
      <c r="H768" s="53"/>
      <c r="I768" s="127"/>
    </row>
    <row r="769" spans="5:9">
      <c r="E769" s="126"/>
      <c r="F769" s="53"/>
      <c r="G769" s="53"/>
      <c r="H769" s="53"/>
      <c r="I769" s="127"/>
    </row>
    <row r="770" spans="5:9">
      <c r="E770" s="126"/>
      <c r="F770" s="53"/>
      <c r="G770" s="53"/>
      <c r="H770" s="53"/>
      <c r="I770" s="127"/>
    </row>
    <row r="771" spans="5:9">
      <c r="E771" s="126"/>
      <c r="F771" s="53"/>
      <c r="G771" s="53"/>
      <c r="H771" s="53"/>
      <c r="I771" s="127"/>
    </row>
    <row r="772" spans="5:9">
      <c r="E772" s="126"/>
      <c r="F772" s="53"/>
      <c r="G772" s="53"/>
      <c r="H772" s="53"/>
      <c r="I772" s="127"/>
    </row>
    <row r="773" spans="5:9">
      <c r="E773" s="126"/>
      <c r="F773" s="53"/>
      <c r="G773" s="53"/>
      <c r="H773" s="53"/>
      <c r="I773" s="127"/>
    </row>
    <row r="774" spans="5:9">
      <c r="E774" s="126"/>
      <c r="F774" s="53"/>
      <c r="G774" s="53"/>
      <c r="H774" s="53"/>
      <c r="I774" s="127"/>
    </row>
    <row r="775" spans="5:9">
      <c r="E775" s="126"/>
      <c r="F775" s="53"/>
      <c r="G775" s="53"/>
      <c r="H775" s="53"/>
      <c r="I775" s="127"/>
    </row>
    <row r="776" spans="5:9">
      <c r="E776" s="126"/>
      <c r="F776" s="53"/>
      <c r="G776" s="53"/>
      <c r="H776" s="53"/>
      <c r="I776" s="127"/>
    </row>
    <row r="777" spans="5:9">
      <c r="E777" s="126"/>
      <c r="F777" s="53"/>
      <c r="G777" s="53"/>
      <c r="H777" s="53"/>
      <c r="I777" s="127"/>
    </row>
    <row r="778" spans="5:9">
      <c r="E778" s="126"/>
      <c r="F778" s="53"/>
      <c r="G778" s="53"/>
      <c r="H778" s="53"/>
      <c r="I778" s="127"/>
    </row>
  </sheetData>
  <mergeCells count="10">
    <mergeCell ref="D25:F25"/>
    <mergeCell ref="D26:F26"/>
    <mergeCell ref="A27:I27"/>
    <mergeCell ref="A1:L1"/>
    <mergeCell ref="D3:E3"/>
    <mergeCell ref="R4:T4"/>
    <mergeCell ref="H8:I8"/>
    <mergeCell ref="H11:I11"/>
    <mergeCell ref="D23:F23"/>
    <mergeCell ref="D24:F24"/>
  </mergeCells>
  <pageMargins left="0.7" right="0.7" top="0.75" bottom="0.75" header="0.3" footer="0.3"/>
  <ignoredErrors>
    <ignoredError sqref="G29:H29" calculatedColumn="1"/>
  </ignoredErrors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635A57D12AD4A8E64569CCB08F583" ma:contentTypeVersion="6" ma:contentTypeDescription="Create a new document." ma:contentTypeScope="" ma:versionID="baa604b1da5982efe42050c25869e8c6">
  <xsd:schema xmlns:xsd="http://www.w3.org/2001/XMLSchema" xmlns:xs="http://www.w3.org/2001/XMLSchema" xmlns:p="http://schemas.microsoft.com/office/2006/metadata/properties" xmlns:ns3="021c6b7c-d360-495d-8e10-035cc6fc0434" targetNamespace="http://schemas.microsoft.com/office/2006/metadata/properties" ma:root="true" ma:fieldsID="f6add13842a75ec039eeeef6cd5d7bb3" ns3:_="">
    <xsd:import namespace="021c6b7c-d360-495d-8e10-035cc6fc043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c6b7c-d360-495d-8e10-035cc6fc043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21c6b7c-d360-495d-8e10-035cc6fc0434" xsi:nil="true"/>
  </documentManagement>
</p:properties>
</file>

<file path=customXml/itemProps1.xml><?xml version="1.0" encoding="utf-8"?>
<ds:datastoreItem xmlns:ds="http://schemas.openxmlformats.org/officeDocument/2006/customXml" ds:itemID="{0AB33C4A-67C8-46C9-9039-C378532B4532}"/>
</file>

<file path=customXml/itemProps2.xml><?xml version="1.0" encoding="utf-8"?>
<ds:datastoreItem xmlns:ds="http://schemas.openxmlformats.org/officeDocument/2006/customXml" ds:itemID="{E0628136-5961-4771-A93A-946043111A67}"/>
</file>

<file path=customXml/itemProps3.xml><?xml version="1.0" encoding="utf-8"?>
<ds:datastoreItem xmlns:ds="http://schemas.openxmlformats.org/officeDocument/2006/customXml" ds:itemID="{47C836C4-1208-4857-8C9C-7319875D88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Shazib Shaikh</dc:creator>
  <cp:keywords/>
  <dc:description/>
  <cp:lastModifiedBy>Darshil Zadaphiya</cp:lastModifiedBy>
  <cp:revision/>
  <dcterms:created xsi:type="dcterms:W3CDTF">2024-03-08T05:59:47Z</dcterms:created>
  <dcterms:modified xsi:type="dcterms:W3CDTF">2025-08-02T13:50:21Z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0x0101006CC635A57D12AD4A8E64569CCB08F583</vt:lpwstr>
  </property>
</Properties>
</file>